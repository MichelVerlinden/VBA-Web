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VBA-Web\examples\"/>
    </mc:Choice>
  </mc:AlternateContent>
  <bookViews>
    <workbookView xWindow="0" yWindow="0" windowWidth="11460" windowHeight="7350" activeTab="2"/>
  </bookViews>
  <sheets>
    <sheet name="YahooFinance" sheetId="5" r:id="rId1"/>
    <sheet name="Sheet1" sheetId="6" r:id="rId2"/>
    <sheet name="Data@Download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B2" i="5"/>
  <c r="B15" i="5"/>
  <c r="B31" i="5"/>
  <c r="B6" i="5"/>
  <c r="B4" i="5"/>
  <c r="B20" i="5"/>
  <c r="B17" i="5"/>
  <c r="B26" i="5"/>
  <c r="G2" i="5"/>
  <c r="I4" i="5"/>
  <c r="D7" i="5"/>
  <c r="F9" i="5"/>
  <c r="H11" i="5"/>
  <c r="C14" i="5"/>
  <c r="E16" i="5"/>
  <c r="G18" i="5"/>
  <c r="I20" i="5"/>
  <c r="D23" i="5"/>
  <c r="F25" i="5"/>
  <c r="H27" i="5"/>
  <c r="C30" i="5"/>
  <c r="E32" i="5"/>
  <c r="D5" i="5"/>
  <c r="H9" i="5"/>
  <c r="E14" i="5"/>
  <c r="E18" i="5"/>
  <c r="I22" i="5"/>
  <c r="I26" i="5"/>
  <c r="F31" i="5"/>
  <c r="E5" i="5"/>
  <c r="F10" i="5"/>
  <c r="C15" i="5"/>
  <c r="C19" i="5"/>
  <c r="C23" i="5"/>
  <c r="H28" i="5"/>
  <c r="D2" i="5"/>
  <c r="F4" i="5"/>
  <c r="H6" i="5"/>
  <c r="C9" i="5"/>
  <c r="E11" i="5"/>
  <c r="G13" i="5"/>
  <c r="I15" i="5"/>
  <c r="D18" i="5"/>
  <c r="F20" i="5"/>
  <c r="H22" i="5"/>
  <c r="C25" i="5"/>
  <c r="E27" i="5"/>
  <c r="G29" i="5"/>
  <c r="I31" i="5"/>
  <c r="G4" i="5"/>
  <c r="G8" i="5"/>
  <c r="H13" i="5"/>
  <c r="I18" i="5"/>
  <c r="F23" i="5"/>
  <c r="G28" i="5"/>
  <c r="F2" i="5"/>
  <c r="C7" i="5"/>
  <c r="D12" i="5"/>
  <c r="H16" i="5"/>
  <c r="I21" i="5"/>
  <c r="C27" i="5"/>
  <c r="F30" i="5"/>
  <c r="J3" i="5"/>
  <c r="J19" i="5"/>
  <c r="J22" i="5"/>
  <c r="J16" i="5"/>
  <c r="J32" i="5"/>
  <c r="J5" i="5"/>
  <c r="J21" i="5"/>
  <c r="J14" i="5"/>
  <c r="O2" i="5"/>
  <c r="AE2" i="5"/>
  <c r="O3" i="5"/>
  <c r="AE3" i="5"/>
  <c r="O4" i="5"/>
  <c r="AE4" i="5"/>
  <c r="O5" i="5"/>
  <c r="AE5" i="5"/>
  <c r="O6" i="5"/>
  <c r="AE6" i="5"/>
  <c r="O7" i="5"/>
  <c r="AE7" i="5"/>
  <c r="O8" i="5"/>
  <c r="AE8" i="5"/>
  <c r="O9" i="5"/>
  <c r="AE9" i="5"/>
  <c r="O10" i="5"/>
  <c r="AE10" i="5"/>
  <c r="O11" i="5"/>
  <c r="AE11" i="5"/>
  <c r="O12" i="5"/>
  <c r="AE12" i="5"/>
  <c r="O13" i="5"/>
  <c r="AE13" i="5"/>
  <c r="O14" i="5"/>
  <c r="AE14" i="5"/>
  <c r="O15" i="5"/>
  <c r="AE15" i="5"/>
  <c r="O16" i="5"/>
  <c r="AE16" i="5"/>
  <c r="O17" i="5"/>
  <c r="AE17" i="5"/>
  <c r="X2" i="5"/>
  <c r="AN2" i="5"/>
  <c r="X3" i="5"/>
  <c r="AN3" i="5"/>
  <c r="X4" i="5"/>
  <c r="AN4" i="5"/>
  <c r="X5" i="5"/>
  <c r="AN5" i="5"/>
  <c r="X6" i="5"/>
  <c r="AN6" i="5"/>
  <c r="X7" i="5"/>
  <c r="AN7" i="5"/>
  <c r="X8" i="5"/>
  <c r="AN8" i="5"/>
  <c r="X9" i="5"/>
  <c r="AN9" i="5"/>
  <c r="X10" i="5"/>
  <c r="AN10" i="5"/>
  <c r="X11" i="5"/>
  <c r="AN11" i="5"/>
  <c r="X12" i="5"/>
  <c r="AN12" i="5"/>
  <c r="X13" i="5"/>
  <c r="AN13" i="5"/>
  <c r="X14" i="5"/>
  <c r="B3" i="5"/>
  <c r="B19" i="5"/>
  <c r="B13" i="5"/>
  <c r="B14" i="5"/>
  <c r="B8" i="5"/>
  <c r="B24" i="5"/>
  <c r="B29" i="5"/>
  <c r="B5" i="5"/>
  <c r="D3" i="5"/>
  <c r="F5" i="5"/>
  <c r="H7" i="5"/>
  <c r="C10" i="5"/>
  <c r="E12" i="5"/>
  <c r="G14" i="5"/>
  <c r="I16" i="5"/>
  <c r="D19" i="5"/>
  <c r="F21" i="5"/>
  <c r="H23" i="5"/>
  <c r="C26" i="5"/>
  <c r="E28" i="5"/>
  <c r="G30" i="5"/>
  <c r="I32" i="5"/>
  <c r="I6" i="5"/>
  <c r="I10" i="5"/>
  <c r="F15" i="5"/>
  <c r="F19" i="5"/>
  <c r="C24" i="5"/>
  <c r="C28" i="5"/>
  <c r="G32" i="5"/>
  <c r="F6" i="5"/>
  <c r="G11" i="5"/>
  <c r="D16" i="5"/>
  <c r="D20" i="5"/>
  <c r="D24" i="5"/>
  <c r="I29" i="5"/>
  <c r="H2" i="5"/>
  <c r="C5" i="5"/>
  <c r="E7" i="5"/>
  <c r="G9" i="5"/>
  <c r="I11" i="5"/>
  <c r="D14" i="5"/>
  <c r="F16" i="5"/>
  <c r="H18" i="5"/>
  <c r="C21" i="5"/>
  <c r="E23" i="5"/>
  <c r="G25" i="5"/>
  <c r="I27" i="5"/>
  <c r="D30" i="5"/>
  <c r="E2" i="5"/>
  <c r="H5" i="5"/>
  <c r="E10" i="5"/>
  <c r="I14" i="5"/>
  <c r="C20" i="5"/>
  <c r="D25" i="5"/>
  <c r="H29" i="5"/>
  <c r="G3" i="5"/>
  <c r="E9" i="5"/>
  <c r="E13" i="5"/>
  <c r="E17" i="5"/>
  <c r="G23" i="5"/>
  <c r="G27" i="5"/>
  <c r="G31" i="5"/>
  <c r="J7" i="5"/>
  <c r="J23" i="5"/>
  <c r="J4" i="5"/>
  <c r="J20" i="5"/>
  <c r="J10" i="5"/>
  <c r="J9" i="5"/>
  <c r="J25" i="5"/>
  <c r="J26" i="5"/>
  <c r="S2" i="5"/>
  <c r="AI2" i="5"/>
  <c r="S3" i="5"/>
  <c r="AI3" i="5"/>
  <c r="S4" i="5"/>
  <c r="AI4" i="5"/>
  <c r="S5" i="5"/>
  <c r="AI5" i="5"/>
  <c r="S6" i="5"/>
  <c r="AI6" i="5"/>
  <c r="S7" i="5"/>
  <c r="AI7" i="5"/>
  <c r="S8" i="5"/>
  <c r="AI8" i="5"/>
  <c r="S9" i="5"/>
  <c r="AI9" i="5"/>
  <c r="S10" i="5"/>
  <c r="AI10" i="5"/>
  <c r="S11" i="5"/>
  <c r="AI11" i="5"/>
  <c r="S12" i="5"/>
  <c r="AI12" i="5"/>
  <c r="S13" i="5"/>
  <c r="AI13" i="5"/>
  <c r="S14" i="5"/>
  <c r="AI14" i="5"/>
  <c r="S15" i="5"/>
  <c r="AI15" i="5"/>
  <c r="S16" i="5"/>
  <c r="AI16" i="5"/>
  <c r="S17" i="5"/>
  <c r="AI17" i="5"/>
  <c r="AB2" i="5"/>
  <c r="L3" i="5"/>
  <c r="AB3" i="5"/>
  <c r="L4" i="5"/>
  <c r="AB4" i="5"/>
  <c r="L5" i="5"/>
  <c r="AB5" i="5"/>
  <c r="L6" i="5"/>
  <c r="AB6" i="5"/>
  <c r="L7" i="5"/>
  <c r="AB7" i="5"/>
  <c r="L8" i="5"/>
  <c r="AB8" i="5"/>
  <c r="L9" i="5"/>
  <c r="AB9" i="5"/>
  <c r="L10" i="5"/>
  <c r="AB10" i="5"/>
  <c r="L11" i="5"/>
  <c r="AB11" i="5"/>
  <c r="L12" i="5"/>
  <c r="AB12" i="5"/>
  <c r="L13" i="5"/>
  <c r="AB13" i="5"/>
  <c r="L14" i="5"/>
  <c r="AB14" i="5"/>
  <c r="B11" i="5"/>
  <c r="B25" i="5"/>
  <c r="B16" i="5"/>
  <c r="B18" i="5"/>
  <c r="E4" i="5"/>
  <c r="I8" i="5"/>
  <c r="F13" i="5"/>
  <c r="C18" i="5"/>
  <c r="G22" i="5"/>
  <c r="D27" i="5"/>
  <c r="H31" i="5"/>
  <c r="D9" i="5"/>
  <c r="D17" i="5"/>
  <c r="H25" i="5"/>
  <c r="D4" i="5"/>
  <c r="I13" i="5"/>
  <c r="F22" i="5"/>
  <c r="D32" i="5"/>
  <c r="D6" i="5"/>
  <c r="H10" i="5"/>
  <c r="E15" i="5"/>
  <c r="I19" i="5"/>
  <c r="F24" i="5"/>
  <c r="C29" i="5"/>
  <c r="C4" i="5"/>
  <c r="G12" i="5"/>
  <c r="E22" i="5"/>
  <c r="C32" i="5"/>
  <c r="C11" i="5"/>
  <c r="H20" i="5"/>
  <c r="E29" i="5"/>
  <c r="J15" i="5"/>
  <c r="J12" i="5"/>
  <c r="J30" i="5"/>
  <c r="J6" i="5"/>
  <c r="AA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J2" i="5"/>
  <c r="AJ3" i="5"/>
  <c r="AJ4" i="5"/>
  <c r="AJ5" i="5"/>
  <c r="AJ6" i="5"/>
  <c r="AJ7" i="5"/>
  <c r="AJ8" i="5"/>
  <c r="AJ9" i="5"/>
  <c r="AJ10" i="5"/>
  <c r="AJ11" i="5"/>
  <c r="AJ12" i="5"/>
  <c r="AJ13" i="5"/>
  <c r="AJ14" i="5"/>
  <c r="T15" i="5"/>
  <c r="AJ15" i="5"/>
  <c r="T16" i="5"/>
  <c r="AJ16" i="5"/>
  <c r="T17" i="5"/>
  <c r="AJ17" i="5"/>
  <c r="AK2" i="5"/>
  <c r="AK3" i="5"/>
  <c r="AK4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U18" i="5"/>
  <c r="AK18" i="5"/>
  <c r="U19" i="5"/>
  <c r="AK19" i="5"/>
  <c r="U20" i="5"/>
  <c r="AK20" i="5"/>
  <c r="U21" i="5"/>
  <c r="AK21" i="5"/>
  <c r="U22" i="5"/>
  <c r="AK22" i="5"/>
  <c r="U23" i="5"/>
  <c r="AK23" i="5"/>
  <c r="U24" i="5"/>
  <c r="AL2" i="5"/>
  <c r="AL3" i="5"/>
  <c r="AL4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V18" i="5"/>
  <c r="AL18" i="5"/>
  <c r="V19" i="5"/>
  <c r="AL19" i="5"/>
  <c r="V20" i="5"/>
  <c r="AL20" i="5"/>
  <c r="V21" i="5"/>
  <c r="AL21" i="5"/>
  <c r="V22" i="5"/>
  <c r="AL22" i="5"/>
  <c r="V23" i="5"/>
  <c r="AG2" i="5"/>
  <c r="B7" i="5"/>
  <c r="B22" i="5"/>
  <c r="B32" i="5"/>
  <c r="H3" i="5"/>
  <c r="G10" i="5"/>
  <c r="H15" i="5"/>
  <c r="C22" i="5"/>
  <c r="I28" i="5"/>
  <c r="I2" i="5"/>
  <c r="C16" i="5"/>
  <c r="D29" i="5"/>
  <c r="H8" i="5"/>
  <c r="E21" i="5"/>
  <c r="E3" i="5"/>
  <c r="F8" i="5"/>
  <c r="H14" i="5"/>
  <c r="G21" i="5"/>
  <c r="H26" i="5"/>
  <c r="F3" i="5"/>
  <c r="G16" i="5"/>
  <c r="F27" i="5"/>
  <c r="I9" i="5"/>
  <c r="H24" i="5"/>
  <c r="J2" i="5"/>
  <c r="J8" i="5"/>
  <c r="J13" i="5"/>
  <c r="K2" i="5"/>
  <c r="W3" i="5"/>
  <c r="AM4" i="5"/>
  <c r="K6" i="5"/>
  <c r="W7" i="5"/>
  <c r="AM8" i="5"/>
  <c r="K10" i="5"/>
  <c r="W11" i="5"/>
  <c r="AM12" i="5"/>
  <c r="K14" i="5"/>
  <c r="W15" i="5"/>
  <c r="AM16" i="5"/>
  <c r="T2" i="5"/>
  <c r="AF3" i="5"/>
  <c r="P5" i="5"/>
  <c r="T6" i="5"/>
  <c r="AF7" i="5"/>
  <c r="P9" i="5"/>
  <c r="T10" i="5"/>
  <c r="AF11" i="5"/>
  <c r="P13" i="5"/>
  <c r="T14" i="5"/>
  <c r="P15" i="5"/>
  <c r="AN15" i="5"/>
  <c r="AB16" i="5"/>
  <c r="P17" i="5"/>
  <c r="M2" i="5"/>
  <c r="U3" i="5"/>
  <c r="AC4" i="5"/>
  <c r="M6" i="5"/>
  <c r="U7" i="5"/>
  <c r="AC8" i="5"/>
  <c r="M10" i="5"/>
  <c r="U11" i="5"/>
  <c r="AC12" i="5"/>
  <c r="M14" i="5"/>
  <c r="U15" i="5"/>
  <c r="AC16" i="5"/>
  <c r="AO17" i="5"/>
  <c r="AC18" i="5"/>
  <c r="Q19" i="5"/>
  <c r="AO19" i="5"/>
  <c r="AC20" i="5"/>
  <c r="Q21" i="5"/>
  <c r="AO21" i="5"/>
  <c r="AC22" i="5"/>
  <c r="Q23" i="5"/>
  <c r="AO23" i="5"/>
  <c r="V2" i="5"/>
  <c r="AD3" i="5"/>
  <c r="N5" i="5"/>
  <c r="V6" i="5"/>
  <c r="AD7" i="5"/>
  <c r="N9" i="5"/>
  <c r="V10" i="5"/>
  <c r="AD11" i="5"/>
  <c r="N13" i="5"/>
  <c r="V14" i="5"/>
  <c r="AD15" i="5"/>
  <c r="N17" i="5"/>
  <c r="N18" i="5"/>
  <c r="AH18" i="5"/>
  <c r="Z19" i="5"/>
  <c r="N20" i="5"/>
  <c r="AH20" i="5"/>
  <c r="Z21" i="5"/>
  <c r="N22" i="5"/>
  <c r="AH22" i="5"/>
  <c r="Z23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K18" i="5"/>
  <c r="AA18" i="5"/>
  <c r="K19" i="5"/>
  <c r="AA19" i="5"/>
  <c r="K20" i="5"/>
  <c r="AA20" i="5"/>
  <c r="K21" i="5"/>
  <c r="AA21" i="5"/>
  <c r="K22" i="5"/>
  <c r="AA22" i="5"/>
  <c r="K23" i="5"/>
  <c r="AA23" i="5"/>
  <c r="K24" i="5"/>
  <c r="AA24" i="5"/>
  <c r="K25" i="5"/>
  <c r="AA25" i="5"/>
  <c r="R3" i="5"/>
  <c r="R7" i="5"/>
  <c r="R11" i="5"/>
  <c r="R15" i="5"/>
  <c r="AB18" i="5"/>
  <c r="AB20" i="5"/>
  <c r="AB22" i="5"/>
  <c r="L24" i="5"/>
  <c r="AK24" i="5"/>
  <c r="Z25" i="5"/>
  <c r="M26" i="5"/>
  <c r="AC26" i="5"/>
  <c r="M27" i="5"/>
  <c r="AC27" i="5"/>
  <c r="M28" i="5"/>
  <c r="AC28" i="5"/>
  <c r="M29" i="5"/>
  <c r="AC29" i="5"/>
  <c r="M30" i="5"/>
  <c r="AC30" i="5"/>
  <c r="M31" i="5"/>
  <c r="AC31" i="5"/>
  <c r="M32" i="5"/>
  <c r="AC32" i="5"/>
  <c r="AD32" i="5"/>
  <c r="AP10" i="5"/>
  <c r="AN19" i="5"/>
  <c r="AD24" i="5"/>
  <c r="AB26" i="5"/>
  <c r="AN27" i="5"/>
  <c r="X29" i="5"/>
  <c r="AN30" i="5"/>
  <c r="T32" i="5"/>
  <c r="Z4" i="5"/>
  <c r="Z8" i="5"/>
  <c r="Z12" i="5"/>
  <c r="Z16" i="5"/>
  <c r="P19" i="5"/>
  <c r="P21" i="5"/>
  <c r="P23" i="5"/>
  <c r="V24" i="5"/>
  <c r="L25" i="5"/>
  <c r="AG25" i="5"/>
  <c r="R26" i="5"/>
  <c r="AH26" i="5"/>
  <c r="R27" i="5"/>
  <c r="AH27" i="5"/>
  <c r="R28" i="5"/>
  <c r="AH28" i="5"/>
  <c r="R29" i="5"/>
  <c r="AH29" i="5"/>
  <c r="R30" i="5"/>
  <c r="AH30" i="5"/>
  <c r="R31" i="5"/>
  <c r="AH31" i="5"/>
  <c r="R32" i="5"/>
  <c r="AP32" i="5"/>
  <c r="AP12" i="5"/>
  <c r="AN21" i="5"/>
  <c r="T25" i="5"/>
  <c r="AJ26" i="5"/>
  <c r="AB28" i="5"/>
  <c r="L30" i="5"/>
  <c r="AF31" i="5"/>
  <c r="AH2" i="5"/>
  <c r="AH6" i="5"/>
  <c r="AH10" i="5"/>
  <c r="AH14" i="5"/>
  <c r="T18" i="5"/>
  <c r="T20" i="5"/>
  <c r="T22" i="5"/>
  <c r="AN23" i="5"/>
  <c r="AH24" i="5"/>
  <c r="X25" i="5"/>
  <c r="K26" i="5"/>
  <c r="AA26" i="5"/>
  <c r="K27" i="5"/>
  <c r="AA27" i="5"/>
  <c r="K28" i="5"/>
  <c r="AA28" i="5"/>
  <c r="K29" i="5"/>
  <c r="AA29" i="5"/>
  <c r="K30" i="5"/>
  <c r="AA30" i="5"/>
  <c r="K31" i="5"/>
  <c r="AA31" i="5"/>
  <c r="K32" i="5"/>
  <c r="AA32" i="5"/>
  <c r="AP3" i="5"/>
  <c r="AP14" i="5"/>
  <c r="X22" i="5"/>
  <c r="Y25" i="5"/>
  <c r="L27" i="5"/>
  <c r="X28" i="5"/>
  <c r="AN29" i="5"/>
  <c r="X31" i="5"/>
  <c r="AN32" i="5"/>
  <c r="AQ3" i="5"/>
  <c r="AU4" i="5"/>
  <c r="AY5" i="5"/>
  <c r="AQ7" i="5"/>
  <c r="AU8" i="5"/>
  <c r="AY9" i="5"/>
  <c r="AQ11" i="5"/>
  <c r="AU12" i="5"/>
  <c r="AY13" i="5"/>
  <c r="AQ15" i="5"/>
  <c r="AU16" i="5"/>
  <c r="AY17" i="5"/>
  <c r="AQ19" i="5"/>
  <c r="AU20" i="5"/>
  <c r="AY21" i="5"/>
  <c r="AQ23" i="5"/>
  <c r="AU24" i="5"/>
  <c r="AY25" i="5"/>
  <c r="AQ27" i="5"/>
  <c r="AU28" i="5"/>
  <c r="AY29" i="5"/>
  <c r="AQ31" i="5"/>
  <c r="AU32" i="5"/>
  <c r="BA32" i="5"/>
  <c r="BB4" i="5"/>
  <c r="BB8" i="5"/>
  <c r="BB12" i="5"/>
  <c r="BB16" i="5"/>
  <c r="BB20" i="5"/>
  <c r="AT24" i="5"/>
  <c r="AT28" i="5"/>
  <c r="AR2" i="5"/>
  <c r="B23" i="5"/>
  <c r="B30" i="5"/>
  <c r="B10" i="5"/>
  <c r="C6" i="5"/>
  <c r="D11" i="5"/>
  <c r="F17" i="5"/>
  <c r="E24" i="5"/>
  <c r="F29" i="5"/>
  <c r="C8" i="5"/>
  <c r="G20" i="5"/>
  <c r="E30" i="5"/>
  <c r="H12" i="5"/>
  <c r="E25" i="5"/>
  <c r="I3" i="5"/>
  <c r="D10" i="5"/>
  <c r="C17" i="5"/>
  <c r="D22" i="5"/>
  <c r="F28" i="5"/>
  <c r="E6" i="5"/>
  <c r="H17" i="5"/>
  <c r="I30" i="5"/>
  <c r="F14" i="5"/>
  <c r="I25" i="5"/>
  <c r="J11" i="5"/>
  <c r="J24" i="5"/>
  <c r="J17" i="5"/>
  <c r="W2" i="5"/>
  <c r="AM3" i="5"/>
  <c r="K5" i="5"/>
  <c r="W6" i="5"/>
  <c r="AM7" i="5"/>
  <c r="K9" i="5"/>
  <c r="W10" i="5"/>
  <c r="AM11" i="5"/>
  <c r="K13" i="5"/>
  <c r="W14" i="5"/>
  <c r="AM15" i="5"/>
  <c r="K17" i="5"/>
  <c r="AF2" i="5"/>
  <c r="P4" i="5"/>
  <c r="T5" i="5"/>
  <c r="AF6" i="5"/>
  <c r="P8" i="5"/>
  <c r="T9" i="5"/>
  <c r="AF10" i="5"/>
  <c r="P12" i="5"/>
  <c r="T13" i="5"/>
  <c r="AF14" i="5"/>
  <c r="X15" i="5"/>
  <c r="L16" i="5"/>
  <c r="AF16" i="5"/>
  <c r="X17" i="5"/>
  <c r="U2" i="5"/>
  <c r="AC3" i="5"/>
  <c r="M5" i="5"/>
  <c r="U6" i="5"/>
  <c r="AC7" i="5"/>
  <c r="M9" i="5"/>
  <c r="U10" i="5"/>
  <c r="AC11" i="5"/>
  <c r="M13" i="5"/>
  <c r="U14" i="5"/>
  <c r="AC15" i="5"/>
  <c r="M17" i="5"/>
  <c r="M18" i="5"/>
  <c r="AG18" i="5"/>
  <c r="Y19" i="5"/>
  <c r="M20" i="5"/>
  <c r="AG20" i="5"/>
  <c r="Y21" i="5"/>
  <c r="M22" i="5"/>
  <c r="AG22" i="5"/>
  <c r="Y23" i="5"/>
  <c r="M24" i="5"/>
  <c r="AD2" i="5"/>
  <c r="N4" i="5"/>
  <c r="V5" i="5"/>
  <c r="AD6" i="5"/>
  <c r="N8" i="5"/>
  <c r="V9" i="5"/>
  <c r="AD10" i="5"/>
  <c r="N12" i="5"/>
  <c r="V13" i="5"/>
  <c r="AD14" i="5"/>
  <c r="N16" i="5"/>
  <c r="V17" i="5"/>
  <c r="R18" i="5"/>
  <c r="AP18" i="5"/>
  <c r="AD19" i="5"/>
  <c r="R20" i="5"/>
  <c r="AP20" i="5"/>
  <c r="AD21" i="5"/>
  <c r="R22" i="5"/>
  <c r="AP22" i="5"/>
  <c r="Q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O18" i="5"/>
  <c r="AE18" i="5"/>
  <c r="O19" i="5"/>
  <c r="AE19" i="5"/>
  <c r="O20" i="5"/>
  <c r="AE20" i="5"/>
  <c r="O21" i="5"/>
  <c r="AE21" i="5"/>
  <c r="O22" i="5"/>
  <c r="AE22" i="5"/>
  <c r="O23" i="5"/>
  <c r="AE23" i="5"/>
  <c r="O24" i="5"/>
  <c r="AE24" i="5"/>
  <c r="O25" i="5"/>
  <c r="AE25" i="5"/>
  <c r="R4" i="5"/>
  <c r="R8" i="5"/>
  <c r="R12" i="5"/>
  <c r="R16" i="5"/>
  <c r="L19" i="5"/>
  <c r="L21" i="5"/>
  <c r="L23" i="5"/>
  <c r="T24" i="5"/>
  <c r="AP24" i="5"/>
  <c r="AF25" i="5"/>
  <c r="Q26" i="5"/>
  <c r="AG26" i="5"/>
  <c r="Q27" i="5"/>
  <c r="AG27" i="5"/>
  <c r="Q28" i="5"/>
  <c r="AG28" i="5"/>
  <c r="Q29" i="5"/>
  <c r="AG29" i="5"/>
  <c r="Q30" i="5"/>
  <c r="AG30" i="5"/>
  <c r="Q31" i="5"/>
  <c r="AG31" i="5"/>
  <c r="Q32" i="5"/>
  <c r="AG32" i="5"/>
  <c r="AL32" i="5"/>
  <c r="AP13" i="5"/>
  <c r="X21" i="5"/>
  <c r="B27" i="5"/>
  <c r="B9" i="5"/>
  <c r="I12" i="5"/>
  <c r="I24" i="5"/>
  <c r="C12" i="5"/>
  <c r="C3" i="5"/>
  <c r="F26" i="5"/>
  <c r="F12" i="5"/>
  <c r="I23" i="5"/>
  <c r="F7" i="5"/>
  <c r="H4" i="5"/>
  <c r="D28" i="5"/>
  <c r="J28" i="5"/>
  <c r="AM2" i="5"/>
  <c r="W5" i="5"/>
  <c r="K8" i="5"/>
  <c r="AM10" i="5"/>
  <c r="W13" i="5"/>
  <c r="K16" i="5"/>
  <c r="P3" i="5"/>
  <c r="AF5" i="5"/>
  <c r="T8" i="5"/>
  <c r="P11" i="5"/>
  <c r="AF13" i="5"/>
  <c r="AB15" i="5"/>
  <c r="AN16" i="5"/>
  <c r="AC2" i="5"/>
  <c r="U5" i="5"/>
  <c r="M8" i="5"/>
  <c r="AC10" i="5"/>
  <c r="U13" i="5"/>
  <c r="M16" i="5"/>
  <c r="Q18" i="5"/>
  <c r="AC19" i="5"/>
  <c r="AO20" i="5"/>
  <c r="Q22" i="5"/>
  <c r="AC23" i="5"/>
  <c r="N3" i="5"/>
  <c r="AD5" i="5"/>
  <c r="V8" i="5"/>
  <c r="N11" i="5"/>
  <c r="AD13" i="5"/>
  <c r="V16" i="5"/>
  <c r="Z18" i="5"/>
  <c r="AH19" i="5"/>
  <c r="N21" i="5"/>
  <c r="Z22" i="5"/>
  <c r="Y2" i="5"/>
  <c r="AG4" i="5"/>
  <c r="AG6" i="5"/>
  <c r="AG8" i="5"/>
  <c r="AG10" i="5"/>
  <c r="AG12" i="5"/>
  <c r="AG14" i="5"/>
  <c r="AG16" i="5"/>
  <c r="S18" i="5"/>
  <c r="S19" i="5"/>
  <c r="S20" i="5"/>
  <c r="S21" i="5"/>
  <c r="S22" i="5"/>
  <c r="S23" i="5"/>
  <c r="S24" i="5"/>
  <c r="S25" i="5"/>
  <c r="R5" i="5"/>
  <c r="R13" i="5"/>
  <c r="AB19" i="5"/>
  <c r="AB23" i="5"/>
  <c r="P25" i="5"/>
  <c r="U26" i="5"/>
  <c r="U27" i="5"/>
  <c r="U28" i="5"/>
  <c r="U29" i="5"/>
  <c r="U30" i="5"/>
  <c r="U31" i="5"/>
  <c r="U32" i="5"/>
  <c r="AP2" i="5"/>
  <c r="AN22" i="5"/>
  <c r="P26" i="5"/>
  <c r="T28" i="5"/>
  <c r="P30" i="5"/>
  <c r="AN31" i="5"/>
  <c r="Z5" i="5"/>
  <c r="Z10" i="5"/>
  <c r="Z15" i="5"/>
  <c r="AF19" i="5"/>
  <c r="P22" i="5"/>
  <c r="N24" i="5"/>
  <c r="Q25" i="5"/>
  <c r="AP25" i="5"/>
  <c r="AD26" i="5"/>
  <c r="V27" i="5"/>
  <c r="AP27" i="5"/>
  <c r="AD28" i="5"/>
  <c r="V29" i="5"/>
  <c r="AP29" i="5"/>
  <c r="AD30" i="5"/>
  <c r="V31" i="5"/>
  <c r="AP31" i="5"/>
  <c r="AH32" i="5"/>
  <c r="AP15" i="5"/>
  <c r="R24" i="5"/>
  <c r="X26" i="5"/>
  <c r="AN28" i="5"/>
  <c r="AJ30" i="5"/>
  <c r="AJ32" i="5"/>
  <c r="AH7" i="5"/>
  <c r="AH12" i="5"/>
  <c r="AH17" i="5"/>
  <c r="AJ20" i="5"/>
  <c r="T23" i="5"/>
  <c r="AC24" i="5"/>
  <c r="AC25" i="5"/>
  <c r="S26" i="5"/>
  <c r="AM26" i="5"/>
  <c r="AE27" i="5"/>
  <c r="S28" i="5"/>
  <c r="AM28" i="5"/>
  <c r="AE29" i="5"/>
  <c r="S30" i="5"/>
  <c r="AM30" i="5"/>
  <c r="AE31" i="5"/>
  <c r="S32" i="5"/>
  <c r="AM32" i="5"/>
  <c r="AN17" i="5"/>
  <c r="Y24" i="5"/>
  <c r="AF26" i="5"/>
  <c r="AJ28" i="5"/>
  <c r="AF30" i="5"/>
  <c r="AB32" i="5"/>
  <c r="AU3" i="5"/>
  <c r="AQ5" i="5"/>
  <c r="AY6" i="5"/>
  <c r="AY8" i="5"/>
  <c r="AU10" i="5"/>
  <c r="AQ12" i="5"/>
  <c r="AQ14" i="5"/>
  <c r="AY15" i="5"/>
  <c r="AU17" i="5"/>
  <c r="AU19" i="5"/>
  <c r="AQ21" i="5"/>
  <c r="AY22" i="5"/>
  <c r="AY24" i="5"/>
  <c r="AU26" i="5"/>
  <c r="AQ28" i="5"/>
  <c r="AQ30" i="5"/>
  <c r="AY31" i="5"/>
  <c r="BA31" i="5"/>
  <c r="AT6" i="5"/>
  <c r="BB10" i="5"/>
  <c r="BB15" i="5"/>
  <c r="BB21" i="5"/>
  <c r="AT26" i="5"/>
  <c r="AX30" i="5"/>
  <c r="AV3" i="5"/>
  <c r="AZ4" i="5"/>
  <c r="AR6" i="5"/>
  <c r="AV7" i="5"/>
  <c r="AZ8" i="5"/>
  <c r="AR10" i="5"/>
  <c r="AV11" i="5"/>
  <c r="AZ12" i="5"/>
  <c r="AR14" i="5"/>
  <c r="AV15" i="5"/>
  <c r="AZ16" i="5"/>
  <c r="AR18" i="5"/>
  <c r="AV19" i="5"/>
  <c r="AZ20" i="5"/>
  <c r="AR22" i="5"/>
  <c r="AV23" i="5"/>
  <c r="AZ24" i="5"/>
  <c r="AR26" i="5"/>
  <c r="AV27" i="5"/>
  <c r="AZ28" i="5"/>
  <c r="AR30" i="5"/>
  <c r="AV31" i="5"/>
  <c r="AW31" i="5"/>
  <c r="AX5" i="5"/>
  <c r="AX9" i="5"/>
  <c r="AX13" i="5"/>
  <c r="AX17" i="5"/>
  <c r="AX21" i="5"/>
  <c r="AX25" i="5"/>
  <c r="AX29" i="5"/>
  <c r="BA2" i="5"/>
  <c r="AS4" i="5"/>
  <c r="AW5" i="5"/>
  <c r="BA6" i="5"/>
  <c r="AS8" i="5"/>
  <c r="AW9" i="5"/>
  <c r="BA10" i="5"/>
  <c r="AS12" i="5"/>
  <c r="AW13" i="5"/>
  <c r="BA14" i="5"/>
  <c r="AS16" i="5"/>
  <c r="AW17" i="5"/>
  <c r="BA18" i="5"/>
  <c r="AS20" i="5"/>
  <c r="AW21" i="5"/>
  <c r="BA22" i="5"/>
  <c r="AS24" i="5"/>
  <c r="AW25" i="5"/>
  <c r="BA26" i="5"/>
  <c r="AS28" i="5"/>
  <c r="AW29" i="5"/>
  <c r="BA30" i="5"/>
  <c r="AT3" i="5"/>
  <c r="BB6" i="5"/>
  <c r="AT11" i="5"/>
  <c r="AT15" i="5"/>
  <c r="AT19" i="5"/>
  <c r="BB23" i="5"/>
  <c r="BB27" i="5"/>
  <c r="AX31" i="5"/>
  <c r="AX32" i="5"/>
  <c r="AR5" i="5"/>
  <c r="AR9" i="5"/>
  <c r="AZ11" i="5"/>
  <c r="AV14" i="5"/>
  <c r="AR17" i="5"/>
  <c r="AZ19" i="5"/>
  <c r="AV22" i="5"/>
  <c r="AR25" i="5"/>
  <c r="AZ27" i="5"/>
  <c r="AV30" i="5"/>
  <c r="AW32" i="5"/>
  <c r="AX10" i="5"/>
  <c r="AX18" i="5"/>
  <c r="AX26" i="5"/>
  <c r="AS3" i="5"/>
  <c r="BA5" i="5"/>
  <c r="AW8" i="5"/>
  <c r="AS11" i="5"/>
  <c r="BA13" i="5"/>
  <c r="AW16" i="5"/>
  <c r="AS19" i="5"/>
  <c r="BA21" i="5"/>
  <c r="AW24" i="5"/>
  <c r="AS27" i="5"/>
  <c r="BA29" i="5"/>
  <c r="BB3" i="5"/>
  <c r="AT12" i="5"/>
  <c r="AT20" i="5"/>
  <c r="AT29" i="5"/>
  <c r="D8" i="5"/>
  <c r="G6" i="5"/>
  <c r="D31" i="5"/>
  <c r="I17" i="5"/>
  <c r="G17" i="5"/>
  <c r="H30" i="5"/>
  <c r="G15" i="5"/>
  <c r="J29" i="5"/>
  <c r="AM6" i="5"/>
  <c r="K12" i="5"/>
  <c r="W17" i="5"/>
  <c r="P7" i="5"/>
  <c r="T12" i="5"/>
  <c r="P16" i="5"/>
  <c r="M4" i="5"/>
  <c r="U9" i="5"/>
  <c r="AC14" i="5"/>
  <c r="AO18" i="5"/>
  <c r="AC21" i="5"/>
  <c r="Q24" i="5"/>
  <c r="N7" i="5"/>
  <c r="V12" i="5"/>
  <c r="AD17" i="5"/>
  <c r="Z20" i="5"/>
  <c r="N23" i="5"/>
  <c r="AG5" i="5"/>
  <c r="AG9" i="5"/>
  <c r="AG13" i="5"/>
  <c r="AG17" i="5"/>
  <c r="AI19" i="5"/>
  <c r="AI21" i="5"/>
  <c r="AI23" i="5"/>
  <c r="AI25" i="5"/>
  <c r="R17" i="5"/>
  <c r="Z24" i="5"/>
  <c r="AK26" i="5"/>
  <c r="AK28" i="5"/>
  <c r="AK30" i="5"/>
  <c r="AK32" i="5"/>
  <c r="N25" i="5"/>
  <c r="L29" i="5"/>
  <c r="Z2" i="5"/>
  <c r="Z13" i="5"/>
  <c r="AF20" i="5"/>
  <c r="AG24" i="5"/>
  <c r="V26" i="5"/>
  <c r="AD27" i="5"/>
  <c r="AP28" i="5"/>
  <c r="V30" i="5"/>
  <c r="AD31" i="5"/>
  <c r="AP6" i="5"/>
  <c r="AD25" i="5"/>
  <c r="AF29" i="5"/>
  <c r="AH4" i="5"/>
  <c r="AH15" i="5"/>
  <c r="AJ21" i="5"/>
  <c r="M25" i="5"/>
  <c r="AM25" i="5"/>
  <c r="S27" i="5"/>
  <c r="AE28" i="5"/>
  <c r="AM29" i="5"/>
  <c r="S31" i="5"/>
  <c r="AE32" i="5"/>
  <c r="AN20" i="5"/>
  <c r="AJ27" i="5"/>
  <c r="AJ31" i="5"/>
  <c r="AQ4" i="5"/>
  <c r="AY7" i="5"/>
  <c r="AU11" i="5"/>
  <c r="AY14" i="5"/>
  <c r="AU18" i="5"/>
  <c r="AQ22" i="5"/>
  <c r="AU25" i="5"/>
  <c r="AQ29" i="5"/>
  <c r="B21" i="5"/>
  <c r="C2" i="5"/>
  <c r="D15" i="5"/>
  <c r="G26" i="5"/>
  <c r="D13" i="5"/>
  <c r="G7" i="5"/>
  <c r="C31" i="5"/>
  <c r="C13" i="5"/>
  <c r="D26" i="5"/>
  <c r="F11" i="5"/>
  <c r="I5" i="5"/>
  <c r="H32" i="5"/>
  <c r="J18" i="5"/>
  <c r="K3" i="5"/>
  <c r="AM5" i="5"/>
  <c r="W8" i="5"/>
  <c r="K11" i="5"/>
  <c r="AM13" i="5"/>
  <c r="W16" i="5"/>
  <c r="T3" i="5"/>
  <c r="P6" i="5"/>
  <c r="AF8" i="5"/>
  <c r="T11" i="5"/>
  <c r="P14" i="5"/>
  <c r="AF15" i="5"/>
  <c r="L17" i="5"/>
  <c r="M3" i="5"/>
  <c r="AC5" i="5"/>
  <c r="U8" i="5"/>
  <c r="M11" i="5"/>
  <c r="AC13" i="5"/>
  <c r="U16" i="5"/>
  <c r="Y18" i="5"/>
  <c r="AG19" i="5"/>
  <c r="M21" i="5"/>
  <c r="Y22" i="5"/>
  <c r="AG23" i="5"/>
  <c r="V3" i="5"/>
  <c r="N6" i="5"/>
  <c r="AD8" i="5"/>
  <c r="V11" i="5"/>
  <c r="N14" i="5"/>
  <c r="AD16" i="5"/>
  <c r="AD18" i="5"/>
  <c r="AP19" i="5"/>
  <c r="R21" i="5"/>
  <c r="AD22" i="5"/>
  <c r="AO2" i="5"/>
  <c r="AO4" i="5"/>
  <c r="AO6" i="5"/>
  <c r="AO8" i="5"/>
  <c r="AO10" i="5"/>
  <c r="AO12" i="5"/>
  <c r="AO14" i="5"/>
  <c r="AO16" i="5"/>
  <c r="W18" i="5"/>
  <c r="W19" i="5"/>
  <c r="W20" i="5"/>
  <c r="W21" i="5"/>
  <c r="W22" i="5"/>
  <c r="W23" i="5"/>
  <c r="W24" i="5"/>
  <c r="W25" i="5"/>
  <c r="R6" i="5"/>
  <c r="R14" i="5"/>
  <c r="L20" i="5"/>
  <c r="AJ23" i="5"/>
  <c r="U25" i="5"/>
  <c r="Y26" i="5"/>
  <c r="Y27" i="5"/>
  <c r="Y28" i="5"/>
  <c r="Y29" i="5"/>
  <c r="Y30" i="5"/>
  <c r="Y31" i="5"/>
  <c r="Y32" i="5"/>
  <c r="AP7" i="5"/>
  <c r="AP23" i="5"/>
  <c r="AN26" i="5"/>
  <c r="AF28" i="5"/>
  <c r="AB30" i="5"/>
  <c r="AF32" i="5"/>
  <c r="Z6" i="5"/>
  <c r="Z11" i="5"/>
  <c r="Z17" i="5"/>
  <c r="P20" i="5"/>
  <c r="AF22" i="5"/>
  <c r="AB24" i="5"/>
  <c r="V25" i="5"/>
  <c r="N26" i="5"/>
  <c r="AL26" i="5"/>
  <c r="Z27" i="5"/>
  <c r="N28" i="5"/>
  <c r="AL28" i="5"/>
  <c r="Z29" i="5"/>
  <c r="N30" i="5"/>
  <c r="AL30" i="5"/>
  <c r="Z31" i="5"/>
  <c r="N32" i="5"/>
  <c r="AP4" i="5"/>
  <c r="X18" i="5"/>
  <c r="AJ24" i="5"/>
  <c r="T27" i="5"/>
  <c r="T29" i="5"/>
  <c r="P31" i="5"/>
  <c r="AH3" i="5"/>
  <c r="AH8" i="5"/>
  <c r="AH13" i="5"/>
  <c r="AJ18" i="5"/>
  <c r="T21" i="5"/>
  <c r="AF23" i="5"/>
  <c r="AN24" i="5"/>
  <c r="AH25" i="5"/>
  <c r="W26" i="5"/>
  <c r="O27" i="5"/>
  <c r="AI27" i="5"/>
  <c r="W28" i="5"/>
  <c r="O29" i="5"/>
  <c r="AI29" i="5"/>
  <c r="W30" i="5"/>
  <c r="O31" i="5"/>
  <c r="AI31" i="5"/>
  <c r="W32" i="5"/>
  <c r="AP5" i="5"/>
  <c r="X19" i="5"/>
  <c r="AO24" i="5"/>
  <c r="X27" i="5"/>
  <c r="P29" i="5"/>
  <c r="L31" i="5"/>
  <c r="AQ2" i="5"/>
  <c r="AY3" i="5"/>
  <c r="AU5" i="5"/>
  <c r="AU7" i="5"/>
  <c r="AQ9" i="5"/>
  <c r="AY10" i="5"/>
  <c r="AY12" i="5"/>
  <c r="AU14" i="5"/>
  <c r="AQ16" i="5"/>
  <c r="AQ18" i="5"/>
  <c r="AY19" i="5"/>
  <c r="AU21" i="5"/>
  <c r="AU23" i="5"/>
  <c r="AQ25" i="5"/>
  <c r="AY26" i="5"/>
  <c r="AY28" i="5"/>
  <c r="AU30" i="5"/>
  <c r="AQ32" i="5"/>
  <c r="BB2" i="5"/>
  <c r="AT7" i="5"/>
  <c r="BB11" i="5"/>
  <c r="BB17" i="5"/>
  <c r="BB22" i="5"/>
  <c r="AT27" i="5"/>
  <c r="AV2" i="5"/>
  <c r="AZ3" i="5"/>
  <c r="AV6" i="5"/>
  <c r="AZ7" i="5"/>
  <c r="AV10" i="5"/>
  <c r="AR13" i="5"/>
  <c r="AZ15" i="5"/>
  <c r="AV18" i="5"/>
  <c r="AR21" i="5"/>
  <c r="AZ23" i="5"/>
  <c r="AV26" i="5"/>
  <c r="AR29" i="5"/>
  <c r="AZ31" i="5"/>
  <c r="AX6" i="5"/>
  <c r="AX14" i="5"/>
  <c r="AX22" i="5"/>
  <c r="BB30" i="5"/>
  <c r="AW4" i="5"/>
  <c r="AS7" i="5"/>
  <c r="BA9" i="5"/>
  <c r="AW12" i="5"/>
  <c r="AS15" i="5"/>
  <c r="BA17" i="5"/>
  <c r="AW20" i="5"/>
  <c r="AS23" i="5"/>
  <c r="BA25" i="5"/>
  <c r="AW28" i="5"/>
  <c r="AS31" i="5"/>
  <c r="AT8" i="5"/>
  <c r="AT16" i="5"/>
  <c r="BB24" i="5"/>
  <c r="BB32" i="5"/>
  <c r="B12" i="5"/>
  <c r="H19" i="5"/>
  <c r="H21" i="5"/>
  <c r="G5" i="5"/>
  <c r="D21" i="5"/>
  <c r="J27" i="5"/>
  <c r="K4" i="5"/>
  <c r="W9" i="5"/>
  <c r="AM14" i="5"/>
  <c r="T4" i="5"/>
  <c r="AF9" i="5"/>
  <c r="AN14" i="5"/>
  <c r="AB17" i="5"/>
  <c r="AC6" i="5"/>
  <c r="M12" i="5"/>
  <c r="U17" i="5"/>
  <c r="Q20" i="5"/>
  <c r="AO22" i="5"/>
  <c r="V4" i="5"/>
  <c r="AD9" i="5"/>
  <c r="N15" i="5"/>
  <c r="N19" i="5"/>
  <c r="AH21" i="5"/>
  <c r="AG3" i="5"/>
  <c r="AG7" i="5"/>
  <c r="AG11" i="5"/>
  <c r="AG15" i="5"/>
  <c r="AI18" i="5"/>
  <c r="AI20" i="5"/>
  <c r="AI22" i="5"/>
  <c r="AI24" i="5"/>
  <c r="R9" i="5"/>
  <c r="AB21" i="5"/>
  <c r="AK25" i="5"/>
  <c r="AK27" i="5"/>
  <c r="AK29" i="5"/>
  <c r="AK31" i="5"/>
  <c r="AP16" i="5"/>
  <c r="P27" i="5"/>
  <c r="T31" i="5"/>
  <c r="Z7" i="5"/>
  <c r="P18" i="5"/>
  <c r="AD23" i="5"/>
  <c r="AB25" i="5"/>
  <c r="AP26" i="5"/>
  <c r="V28" i="5"/>
  <c r="AD29" i="5"/>
  <c r="AP30" i="5"/>
  <c r="V32" i="5"/>
  <c r="X20" i="5"/>
  <c r="AF27" i="5"/>
  <c r="L32" i="5"/>
  <c r="AH9" i="5"/>
  <c r="T19" i="5"/>
  <c r="P24" i="5"/>
  <c r="AE26" i="5"/>
  <c r="AM27" i="5"/>
  <c r="S29" i="5"/>
  <c r="AE30" i="5"/>
  <c r="AM31" i="5"/>
  <c r="AP8" i="5"/>
  <c r="AN25" i="5"/>
  <c r="AB29" i="5"/>
  <c r="AU2" i="5"/>
  <c r="AQ6" i="5"/>
  <c r="AU9" i="5"/>
  <c r="AQ13" i="5"/>
  <c r="AY16" i="5"/>
  <c r="AQ20" i="5"/>
  <c r="AY23" i="5"/>
  <c r="AU27" i="5"/>
  <c r="B28" i="5"/>
  <c r="G24" i="5"/>
  <c r="E31" i="5"/>
  <c r="L2" i="5"/>
  <c r="W12" i="5"/>
  <c r="T7" i="5"/>
  <c r="X16" i="5"/>
  <c r="AC9" i="5"/>
  <c r="M19" i="5"/>
  <c r="N2" i="5"/>
  <c r="AD12" i="5"/>
  <c r="AD20" i="5"/>
  <c r="AO5" i="5"/>
  <c r="AO13" i="5"/>
  <c r="AM19" i="5"/>
  <c r="AM23" i="5"/>
  <c r="L18" i="5"/>
  <c r="AO26" i="5"/>
  <c r="AO30" i="5"/>
  <c r="AJ25" i="5"/>
  <c r="Z3" i="5"/>
  <c r="AF21" i="5"/>
  <c r="Z26" i="5"/>
  <c r="N29" i="5"/>
  <c r="AL31" i="5"/>
  <c r="L26" i="5"/>
  <c r="AH5" i="5"/>
  <c r="AJ22" i="5"/>
  <c r="AI26" i="5"/>
  <c r="W29" i="5"/>
  <c r="O32" i="5"/>
  <c r="T26" i="5"/>
  <c r="AY2" i="5"/>
  <c r="AQ10" i="5"/>
  <c r="AQ17" i="5"/>
  <c r="AQ24" i="5"/>
  <c r="AY30" i="5"/>
  <c r="AX3" i="5"/>
  <c r="BB13" i="5"/>
  <c r="AX23" i="5"/>
  <c r="AZ2" i="5"/>
  <c r="AV5" i="5"/>
  <c r="AR8" i="5"/>
  <c r="AZ10" i="5"/>
  <c r="AV13" i="5"/>
  <c r="AR16" i="5"/>
  <c r="AZ18" i="5"/>
  <c r="AV21" i="5"/>
  <c r="AR24" i="5"/>
  <c r="AZ26" i="5"/>
  <c r="AV29" i="5"/>
  <c r="AR32" i="5"/>
  <c r="AX7" i="5"/>
  <c r="AX15" i="5"/>
  <c r="AT23" i="5"/>
  <c r="AS2" i="5"/>
  <c r="BA4" i="5"/>
  <c r="AW7" i="5"/>
  <c r="AS10" i="5"/>
  <c r="BA12" i="5"/>
  <c r="AW15" i="5"/>
  <c r="AS18" i="5"/>
  <c r="BA20" i="5"/>
  <c r="AW23" i="5"/>
  <c r="AS26" i="5"/>
  <c r="BA28" i="5"/>
  <c r="AS32" i="5"/>
  <c r="AT9" i="5"/>
  <c r="AT17" i="5"/>
  <c r="BB25" i="5"/>
  <c r="BB31" i="5"/>
  <c r="I7" i="5"/>
  <c r="G19" i="5"/>
  <c r="P2" i="5"/>
  <c r="U4" i="5"/>
  <c r="AG21" i="5"/>
  <c r="AP17" i="5"/>
  <c r="AO9" i="5"/>
  <c r="AM21" i="5"/>
  <c r="AF24" i="5"/>
  <c r="AO32" i="5"/>
  <c r="Z14" i="5"/>
  <c r="AL27" i="5"/>
  <c r="AP9" i="5"/>
  <c r="AH16" i="5"/>
  <c r="O28" i="5"/>
  <c r="AP11" i="5"/>
  <c r="AU6" i="5"/>
  <c r="AY20" i="5"/>
  <c r="AY32" i="5"/>
  <c r="BB18" i="5"/>
  <c r="AR4" i="5"/>
  <c r="AV9" i="5"/>
  <c r="AZ14" i="5"/>
  <c r="AR20" i="5"/>
  <c r="AV25" i="5"/>
  <c r="AZ30" i="5"/>
  <c r="AX11" i="5"/>
  <c r="AX27" i="5"/>
  <c r="AS6" i="5"/>
  <c r="AW11" i="5"/>
  <c r="BA16" i="5"/>
  <c r="AS22" i="5"/>
  <c r="AW27" i="5"/>
  <c r="AT5" i="5"/>
  <c r="AT21" i="5"/>
  <c r="E19" i="5"/>
  <c r="J31" i="5"/>
  <c r="AF4" i="5"/>
  <c r="M7" i="5"/>
  <c r="M23" i="5"/>
  <c r="R19" i="5"/>
  <c r="AO11" i="5"/>
  <c r="R10" i="5"/>
  <c r="AO29" i="5"/>
  <c r="AN18" i="5"/>
  <c r="AF18" i="5"/>
  <c r="Z28" i="5"/>
  <c r="X23" i="5"/>
  <c r="AJ19" i="5"/>
  <c r="AI28" i="5"/>
  <c r="AH23" i="5"/>
  <c r="AQ8" i="5"/>
  <c r="AU22" i="5"/>
  <c r="BB9" i="5"/>
  <c r="BB29" i="5"/>
  <c r="AR7" i="5"/>
  <c r="AV12" i="5"/>
  <c r="AZ17" i="5"/>
  <c r="AR23" i="5"/>
  <c r="AV28" i="5"/>
  <c r="AX4" i="5"/>
  <c r="AX28" i="5"/>
  <c r="AW6" i="5"/>
  <c r="AW14" i="5"/>
  <c r="BA19" i="5"/>
  <c r="BA27" i="5"/>
  <c r="AT14" i="5"/>
  <c r="E8" i="5"/>
  <c r="F18" i="5"/>
  <c r="E26" i="5"/>
  <c r="W4" i="5"/>
  <c r="K15" i="5"/>
  <c r="P10" i="5"/>
  <c r="AF17" i="5"/>
  <c r="U12" i="5"/>
  <c r="Y20" i="5"/>
  <c r="AD4" i="5"/>
  <c r="V15" i="5"/>
  <c r="AP21" i="5"/>
  <c r="AO7" i="5"/>
  <c r="AO15" i="5"/>
  <c r="AM20" i="5"/>
  <c r="AM24" i="5"/>
  <c r="L22" i="5"/>
  <c r="AO27" i="5"/>
  <c r="AO31" i="5"/>
  <c r="AB27" i="5"/>
  <c r="Z9" i="5"/>
  <c r="AL23" i="5"/>
  <c r="N27" i="5"/>
  <c r="AL29" i="5"/>
  <c r="Z32" i="5"/>
  <c r="L28" i="5"/>
  <c r="AH11" i="5"/>
  <c r="X24" i="5"/>
  <c r="W27" i="5"/>
  <c r="O30" i="5"/>
  <c r="AI32" i="5"/>
  <c r="P28" i="5"/>
  <c r="AY4" i="5"/>
  <c r="AY11" i="5"/>
  <c r="AY18" i="5"/>
  <c r="AQ26" i="5"/>
  <c r="AU31" i="5"/>
  <c r="AT4" i="5"/>
  <c r="BB14" i="5"/>
  <c r="AT25" i="5"/>
  <c r="AR3" i="5"/>
  <c r="AZ5" i="5"/>
  <c r="AV8" i="5"/>
  <c r="AR11" i="5"/>
  <c r="AZ13" i="5"/>
  <c r="AV16" i="5"/>
  <c r="AR19" i="5"/>
  <c r="AZ21" i="5"/>
  <c r="AV24" i="5"/>
  <c r="AR27" i="5"/>
  <c r="AZ29" i="5"/>
  <c r="AV32" i="5"/>
  <c r="AX8" i="5"/>
  <c r="AX16" i="5"/>
  <c r="AX24" i="5"/>
  <c r="AW2" i="5"/>
  <c r="AS5" i="5"/>
  <c r="BA7" i="5"/>
  <c r="AW10" i="5"/>
  <c r="AS13" i="5"/>
  <c r="BA15" i="5"/>
  <c r="AW18" i="5"/>
  <c r="AS21" i="5"/>
  <c r="BA23" i="5"/>
  <c r="AW26" i="5"/>
  <c r="AS29" i="5"/>
  <c r="AT2" i="5"/>
  <c r="AT10" i="5"/>
  <c r="AT18" i="5"/>
  <c r="BB26" i="5"/>
  <c r="AT32" i="5"/>
  <c r="E20" i="5"/>
  <c r="K7" i="5"/>
  <c r="AF12" i="5"/>
  <c r="M15" i="5"/>
  <c r="V7" i="5"/>
  <c r="R23" i="5"/>
  <c r="AM17" i="5"/>
  <c r="R2" i="5"/>
  <c r="AO28" i="5"/>
  <c r="AJ29" i="5"/>
  <c r="AL24" i="5"/>
  <c r="Z30" i="5"/>
  <c r="X30" i="5"/>
  <c r="R25" i="5"/>
  <c r="AI30" i="5"/>
  <c r="T30" i="5"/>
  <c r="AU13" i="5"/>
  <c r="AY27" i="5"/>
  <c r="BB7" i="5"/>
  <c r="BB28" i="5"/>
  <c r="AZ6" i="5"/>
  <c r="AR12" i="5"/>
  <c r="AV17" i="5"/>
  <c r="AZ22" i="5"/>
  <c r="AR28" i="5"/>
  <c r="AX2" i="5"/>
  <c r="AX19" i="5"/>
  <c r="AW3" i="5"/>
  <c r="BA8" i="5"/>
  <c r="AS14" i="5"/>
  <c r="AW19" i="5"/>
  <c r="BA24" i="5"/>
  <c r="AS30" i="5"/>
  <c r="AT13" i="5"/>
  <c r="AT30" i="5"/>
  <c r="F32" i="5"/>
  <c r="AM9" i="5"/>
  <c r="L15" i="5"/>
  <c r="AC17" i="5"/>
  <c r="N10" i="5"/>
  <c r="AO3" i="5"/>
  <c r="AM18" i="5"/>
  <c r="AM22" i="5"/>
  <c r="AO25" i="5"/>
  <c r="AB31" i="5"/>
  <c r="AL25" i="5"/>
  <c r="N31" i="5"/>
  <c r="X32" i="5"/>
  <c r="O26" i="5"/>
  <c r="W31" i="5"/>
  <c r="P32" i="5"/>
  <c r="AU15" i="5"/>
  <c r="AU29" i="5"/>
  <c r="BB19" i="5"/>
  <c r="AV4" i="5"/>
  <c r="AZ9" i="5"/>
  <c r="AR15" i="5"/>
  <c r="AV20" i="5"/>
  <c r="AZ25" i="5"/>
  <c r="AR31" i="5"/>
  <c r="AX12" i="5"/>
  <c r="BA3" i="5"/>
  <c r="AS9" i="5"/>
  <c r="AS17" i="5"/>
  <c r="AW22" i="5"/>
  <c r="AW30" i="5"/>
  <c r="AT22" i="5"/>
  <c r="AZ32" i="5"/>
  <c r="AX20" i="5"/>
  <c r="BA11" i="5"/>
  <c r="AS25" i="5"/>
  <c r="BB5" i="5"/>
  <c r="AT31" i="5"/>
</calcChain>
</file>

<file path=xl/sharedStrings.xml><?xml version="1.0" encoding="utf-8"?>
<sst xmlns="http://schemas.openxmlformats.org/spreadsheetml/2006/main" count="86" uniqueCount="86">
  <si>
    <t>Ask</t>
  </si>
  <si>
    <t>Bid</t>
  </si>
  <si>
    <t>AAPL</t>
  </si>
  <si>
    <t>ORAN</t>
  </si>
  <si>
    <t>SWJ.DE</t>
  </si>
  <si>
    <t>MRI-U.TO</t>
  </si>
  <si>
    <t>LastTradeTime</t>
  </si>
  <si>
    <t>AverageDailyVolume</t>
  </si>
  <si>
    <t>BookValue</t>
  </si>
  <si>
    <t>Change</t>
  </si>
  <si>
    <t>Currency</t>
  </si>
  <si>
    <t>DividendShare</t>
  </si>
  <si>
    <t>LastTradeDate</t>
  </si>
  <si>
    <t>EarningsShare</t>
  </si>
  <si>
    <t>EPSEstimateCurrentYear</t>
  </si>
  <si>
    <t>EPSEstimateNextYear</t>
  </si>
  <si>
    <t>EPSEstimateNextQuarter</t>
  </si>
  <si>
    <t>DaysLow</t>
  </si>
  <si>
    <t>DaysHigh</t>
  </si>
  <si>
    <t>YearLow</t>
  </si>
  <si>
    <t>YearHigh</t>
  </si>
  <si>
    <t>MarketCapitalization</t>
  </si>
  <si>
    <t>EBITDA</t>
  </si>
  <si>
    <t>ChangeFromYearLow</t>
  </si>
  <si>
    <t>PercentChangeFromYearLow</t>
  </si>
  <si>
    <t>ChangeFromYearHigh</t>
  </si>
  <si>
    <t>PercebtChangeFromYearHigh</t>
  </si>
  <si>
    <t>LastTradeWithTime</t>
  </si>
  <si>
    <t>LastTradePriceOnly</t>
  </si>
  <si>
    <t>DaysRange</t>
  </si>
  <si>
    <t>FiftydayMovingAverage</t>
  </si>
  <si>
    <t>TwoHundreddayMovingAverage</t>
  </si>
  <si>
    <t>ChangeFromTwoHundreddayMovingAverage</t>
  </si>
  <si>
    <t>PercentChangeFromTwoHundreddayMovingAverage</t>
  </si>
  <si>
    <t>ChangeFromFiftydayMovingAverage</t>
  </si>
  <si>
    <t>PercentChangeFromFiftydayMovingAverage</t>
  </si>
  <si>
    <t>Name</t>
  </si>
  <si>
    <t>Notes</t>
  </si>
  <si>
    <t>Open</t>
  </si>
  <si>
    <t>PreviousClose</t>
  </si>
  <si>
    <t>PricePaid</t>
  </si>
  <si>
    <t>ChangeinPercent</t>
  </si>
  <si>
    <t>PriceSales</t>
  </si>
  <si>
    <t>PriceBook</t>
  </si>
  <si>
    <t>PERatio</t>
  </si>
  <si>
    <t>DividendPayDate</t>
  </si>
  <si>
    <t>PEGRatio</t>
  </si>
  <si>
    <t>PriceEPSEstimateCurrentYear</t>
  </si>
  <si>
    <t>PriceEPSEstimateNextYear</t>
  </si>
  <si>
    <t>Symbol</t>
  </si>
  <si>
    <t>ShortRatio</t>
  </si>
  <si>
    <t>TickerTrend</t>
  </si>
  <si>
    <t>OneyrTargetPrice</t>
  </si>
  <si>
    <t>Volume</t>
  </si>
  <si>
    <t>HoldingsValue</t>
  </si>
  <si>
    <t>YearRange</t>
  </si>
  <si>
    <t>StockExchange</t>
  </si>
  <si>
    <t>Security</t>
  </si>
  <si>
    <t>FBOK34.SA</t>
  </si>
  <si>
    <t>DBK.MU</t>
  </si>
  <si>
    <t>TWR.DE</t>
  </si>
  <si>
    <t>CTR.L</t>
  </si>
  <si>
    <t>RNO.SW</t>
  </si>
  <si>
    <t>MRK</t>
  </si>
  <si>
    <t>LMT</t>
  </si>
  <si>
    <t>RDSB.L</t>
  </si>
  <si>
    <t>UNH</t>
  </si>
  <si>
    <t>STAN.L</t>
  </si>
  <si>
    <t>LNKD</t>
  </si>
  <si>
    <t>FTR</t>
  </si>
  <si>
    <t>KO</t>
  </si>
  <si>
    <t>CCE</t>
  </si>
  <si>
    <t>KOF</t>
  </si>
  <si>
    <t>DBK.DE</t>
  </si>
  <si>
    <t>DD</t>
  </si>
  <si>
    <t>DDS</t>
  </si>
  <si>
    <t>DDF</t>
  </si>
  <si>
    <t>VQROX</t>
  </si>
  <si>
    <t>SLB</t>
  </si>
  <si>
    <t>GILD</t>
  </si>
  <si>
    <t>TSM</t>
  </si>
  <si>
    <t>TDLZX</t>
  </si>
  <si>
    <t>AAN</t>
  </si>
  <si>
    <t>AAC</t>
  </si>
  <si>
    <t>TEWI</t>
  </si>
  <si>
    <t>TwitterSentiment¬£a¬£Completed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</si>
</sst>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ourier New"/>
      <family val="3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32"/>
  <sheetViews>
    <sheetView zoomScale="70" zoomScaleNormal="70" workbookViewId="0">
      <selection activeCell="G14" sqref="G14"/>
    </sheetView>
  </sheetViews>
  <sheetFormatPr defaultColWidth="12.28515625" defaultRowHeight="15" x14ac:dyDescent="0.25"/>
  <cols>
    <col min="1" max="1" width="13" bestFit="1" customWidth="1"/>
    <col min="2" max="2" width="16.7109375" bestFit="1" customWidth="1"/>
    <col min="3" max="3" width="11" customWidth="1"/>
    <col min="4" max="4" width="25.42578125" bestFit="1" customWidth="1"/>
    <col min="5" max="5" width="11.140625" customWidth="1"/>
    <col min="6" max="6" width="18.140625" bestFit="1" customWidth="1"/>
    <col min="7" max="8" width="12" bestFit="1" customWidth="1"/>
    <col min="9" max="9" width="18.5703125" bestFit="1" customWidth="1"/>
    <col min="10" max="10" width="18.7109375" bestFit="1" customWidth="1"/>
    <col min="11" max="11" width="18.5703125" bestFit="1" customWidth="1"/>
    <col min="12" max="12" width="30.28515625" bestFit="1" customWidth="1"/>
    <col min="13" max="13" width="22.5703125" bestFit="1" customWidth="1"/>
    <col min="14" max="14" width="25.28515625" bestFit="1" customWidth="1"/>
    <col min="15" max="15" width="10" bestFit="1" customWidth="1"/>
    <col min="16" max="16" width="10.28515625" bestFit="1" customWidth="1"/>
    <col min="17" max="17" width="9.7109375" bestFit="1" customWidth="1"/>
    <col min="18" max="18" width="10.140625" bestFit="1" customWidth="1"/>
    <col min="19" max="19" width="20.5703125" bestFit="1" customWidth="1"/>
    <col min="20" max="20" width="8.5703125" bestFit="1" customWidth="1"/>
    <col min="21" max="21" width="22.42578125" bestFit="1" customWidth="1"/>
    <col min="22" max="22" width="30.140625" bestFit="1" customWidth="1"/>
    <col min="23" max="23" width="22.85546875" bestFit="1" customWidth="1"/>
    <col min="24" max="24" width="30.5703125" bestFit="1" customWidth="1"/>
    <col min="25" max="25" width="19.7109375" bestFit="1" customWidth="1"/>
    <col min="26" max="26" width="20.28515625" bestFit="1" customWidth="1"/>
    <col min="27" max="27" width="12.42578125" bestFit="1" customWidth="1"/>
    <col min="28" max="28" width="23.85546875" bestFit="1" customWidth="1"/>
    <col min="29" max="29" width="32.42578125" bestFit="1" customWidth="1"/>
    <col min="30" max="30" width="45" bestFit="1" customWidth="1"/>
    <col min="31" max="31" width="53" bestFit="1" customWidth="1"/>
    <col min="32" max="32" width="36.7109375" bestFit="1" customWidth="1"/>
    <col min="33" max="33" width="44.42578125" bestFit="1" customWidth="1"/>
    <col min="34" max="35" width="6.85546875" bestFit="1" customWidth="1"/>
    <col min="36" max="36" width="6.7109375" bestFit="1" customWidth="1"/>
    <col min="37" max="37" width="14.85546875" bestFit="1" customWidth="1"/>
    <col min="38" max="38" width="10.5703125" bestFit="1" customWidth="1"/>
    <col min="39" max="39" width="18.28515625" bestFit="1" customWidth="1"/>
    <col min="40" max="40" width="11.5703125" bestFit="1" customWidth="1"/>
    <col min="41" max="41" width="11.140625" bestFit="1" customWidth="1"/>
    <col min="42" max="42" width="8.85546875" bestFit="1" customWidth="1"/>
    <col min="43" max="43" width="17.85546875" bestFit="1" customWidth="1"/>
    <col min="44" max="44" width="10.5703125" bestFit="1" customWidth="1"/>
    <col min="45" max="45" width="30.28515625" bestFit="1" customWidth="1"/>
    <col min="46" max="46" width="27.7109375" bestFit="1" customWidth="1"/>
    <col min="47" max="47" width="11.42578125" bestFit="1" customWidth="1"/>
    <col min="48" max="48" width="15.42578125" bestFit="1" customWidth="1"/>
    <col min="49" max="49" width="12.5703125" bestFit="1" customWidth="1"/>
    <col min="50" max="50" width="18.28515625" bestFit="1" customWidth="1"/>
    <col min="51" max="51" width="11.140625" bestFit="1" customWidth="1"/>
    <col min="52" max="52" width="15" bestFit="1" customWidth="1"/>
    <col min="53" max="53" width="18.85546875" bestFit="1" customWidth="1"/>
    <col min="54" max="54" width="16.7109375" bestFit="1" customWidth="1"/>
  </cols>
  <sheetData>
    <row r="1" spans="1:54" s="2" customFormat="1" x14ac:dyDescent="0.25">
      <c r="A1" s="2" t="s">
        <v>57</v>
      </c>
      <c r="B1" s="2" t="s">
        <v>49</v>
      </c>
      <c r="C1" s="3" t="s">
        <v>0</v>
      </c>
      <c r="D1" s="4" t="s">
        <v>7</v>
      </c>
      <c r="E1" s="4" t="s">
        <v>1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19</v>
      </c>
      <c r="R1" s="4" t="s">
        <v>20</v>
      </c>
      <c r="S1" s="4" t="s">
        <v>21</v>
      </c>
      <c r="T1" s="4" t="s">
        <v>22</v>
      </c>
      <c r="U1" s="4" t="s">
        <v>23</v>
      </c>
      <c r="V1" s="4" t="s">
        <v>24</v>
      </c>
      <c r="W1" s="4" t="s">
        <v>25</v>
      </c>
      <c r="X1" s="4" t="s">
        <v>26</v>
      </c>
      <c r="Y1" s="4" t="s">
        <v>27</v>
      </c>
      <c r="Z1" s="4" t="s">
        <v>28</v>
      </c>
      <c r="AA1" s="4" t="s">
        <v>29</v>
      </c>
      <c r="AB1" s="4" t="s">
        <v>30</v>
      </c>
      <c r="AC1" s="4" t="s">
        <v>31</v>
      </c>
      <c r="AD1" s="4" t="s">
        <v>32</v>
      </c>
      <c r="AE1" s="4" t="s">
        <v>33</v>
      </c>
      <c r="AF1" s="4" t="s">
        <v>34</v>
      </c>
      <c r="AG1" s="4" t="s">
        <v>35</v>
      </c>
      <c r="AH1" s="4" t="s">
        <v>36</v>
      </c>
      <c r="AI1" s="4" t="s">
        <v>37</v>
      </c>
      <c r="AJ1" s="4" t="s">
        <v>38</v>
      </c>
      <c r="AK1" s="4" t="s">
        <v>39</v>
      </c>
      <c r="AL1" s="4" t="s">
        <v>40</v>
      </c>
      <c r="AM1" s="4" t="s">
        <v>41</v>
      </c>
      <c r="AN1" s="4" t="s">
        <v>42</v>
      </c>
      <c r="AO1" s="4" t="s">
        <v>43</v>
      </c>
      <c r="AP1" s="4" t="s">
        <v>44</v>
      </c>
      <c r="AQ1" s="4" t="s">
        <v>45</v>
      </c>
      <c r="AR1" s="4" t="s">
        <v>46</v>
      </c>
      <c r="AS1" s="4" t="s">
        <v>47</v>
      </c>
      <c r="AT1" s="4" t="s">
        <v>48</v>
      </c>
      <c r="AU1" s="2" t="s">
        <v>50</v>
      </c>
      <c r="AV1" s="2" t="s">
        <v>6</v>
      </c>
      <c r="AW1" s="2" t="s">
        <v>51</v>
      </c>
      <c r="AX1" s="2" t="s">
        <v>52</v>
      </c>
      <c r="AY1" s="2" t="s">
        <v>53</v>
      </c>
      <c r="AZ1" s="2" t="s">
        <v>54</v>
      </c>
      <c r="BA1" s="2" t="s">
        <v>55</v>
      </c>
      <c r="BB1" s="2" t="s">
        <v>56</v>
      </c>
    </row>
    <row r="2" spans="1:54" x14ac:dyDescent="0.25">
      <c r="A2" t="s">
        <v>2</v>
      </c>
      <c r="B2" s="1" t="str">
        <f t="shared" ref="B2:K11" si="0">ydp($A2,B$1)</f>
        <v>AAPL</v>
      </c>
      <c r="C2" s="1" t="str">
        <f t="shared" si="0"/>
        <v>126.89</v>
      </c>
      <c r="D2" s="1" t="str">
        <f t="shared" si="0"/>
        <v>55650600</v>
      </c>
      <c r="E2" s="1" t="str">
        <f t="shared" si="0"/>
        <v>126.88</v>
      </c>
      <c r="F2" s="1" t="str">
        <f t="shared" si="0"/>
        <v>21.17</v>
      </c>
      <c r="G2" s="1" t="str">
        <f t="shared" si="0"/>
        <v>+0.48</v>
      </c>
      <c r="H2" s="1" t="str">
        <f t="shared" si="0"/>
        <v>USD</v>
      </c>
      <c r="I2" s="1" t="str">
        <f t="shared" si="0"/>
        <v>1.88</v>
      </c>
      <c r="J2" s="1" t="str">
        <f t="shared" si="0"/>
        <v>4/15/2015</v>
      </c>
      <c r="K2" s="1" t="str">
        <f t="shared" si="0"/>
        <v>7.39</v>
      </c>
      <c r="L2" s="1" t="str">
        <f t="shared" ref="L2:U11" si="1">ydp($A2,L$1)</f>
        <v>8.67</v>
      </c>
      <c r="M2" s="1" t="str">
        <f t="shared" si="1"/>
        <v>9.39</v>
      </c>
      <c r="N2" s="1" t="str">
        <f t="shared" si="1"/>
        <v>1.67</v>
      </c>
      <c r="O2" s="1" t="str">
        <f t="shared" si="1"/>
        <v>126.01</v>
      </c>
      <c r="P2" s="1" t="str">
        <f t="shared" si="1"/>
        <v>127.13</v>
      </c>
      <c r="Q2" s="1" t="str">
        <f t="shared" si="1"/>
        <v>73.45</v>
      </c>
      <c r="R2" s="1" t="str">
        <f t="shared" si="1"/>
        <v>133.60</v>
      </c>
      <c r="S2" s="1" t="str">
        <f t="shared" si="1"/>
        <v>738.46B</v>
      </c>
      <c r="T2" s="1" t="str">
        <f t="shared" si="1"/>
        <v>67.66B</v>
      </c>
      <c r="U2" s="1" t="str">
        <f t="shared" si="1"/>
        <v>53.33</v>
      </c>
      <c r="V2" s="1" t="str">
        <f t="shared" ref="V2:AE11" si="2">ydp($A2,V$1)</f>
        <v>+72.61%</v>
      </c>
      <c r="W2" s="1" t="str">
        <f t="shared" si="2"/>
        <v>-6.82</v>
      </c>
      <c r="X2" s="1" t="str">
        <f t="shared" si="2"/>
        <v>-5.10%</v>
      </c>
      <c r="Y2" s="1" t="str">
        <f t="shared" si="2"/>
        <v>4:00pm - &lt;b&gt;126.78&lt;/b&gt;</v>
      </c>
      <c r="Z2" s="1" t="str">
        <f t="shared" si="2"/>
        <v>126.78</v>
      </c>
      <c r="AA2" s="1" t="str">
        <f t="shared" si="2"/>
        <v>126.01 - 127.13</v>
      </c>
      <c r="AB2" s="1" t="str">
        <f t="shared" si="2"/>
        <v>126.47</v>
      </c>
      <c r="AC2" s="1" t="str">
        <f t="shared" si="2"/>
        <v>115.21</v>
      </c>
      <c r="AD2" s="1" t="str">
        <f t="shared" si="2"/>
        <v>11.57</v>
      </c>
      <c r="AE2" s="1" t="str">
        <f t="shared" si="2"/>
        <v>+10.05%</v>
      </c>
      <c r="AF2" s="1" t="str">
        <f t="shared" ref="AF2:AO11" si="3">ydp($A2,AF$1)</f>
        <v>0.31</v>
      </c>
      <c r="AG2" s="1" t="str">
        <f t="shared" si="3"/>
        <v>+0.24%</v>
      </c>
      <c r="AH2" s="1" t="str">
        <f t="shared" si="3"/>
        <v>Apple Inc.</v>
      </c>
      <c r="AI2" s="1" t="str">
        <f t="shared" si="3"/>
        <v/>
      </c>
      <c r="AJ2" s="1" t="str">
        <f t="shared" si="3"/>
        <v>126.55</v>
      </c>
      <c r="AK2" s="1" t="str">
        <f t="shared" si="3"/>
        <v>126.30</v>
      </c>
      <c r="AL2" s="1" t="str">
        <f t="shared" si="3"/>
        <v/>
      </c>
      <c r="AM2" s="1" t="str">
        <f t="shared" si="3"/>
        <v>+0.38%</v>
      </c>
      <c r="AN2" s="1" t="str">
        <f t="shared" si="3"/>
        <v>3.68</v>
      </c>
      <c r="AO2" s="1" t="str">
        <f t="shared" si="3"/>
        <v>5.97</v>
      </c>
      <c r="AP2" s="1" t="str">
        <f t="shared" ref="AP2:BB11" si="4">ydp($A2,AP$1)</f>
        <v>17.17</v>
      </c>
      <c r="AQ2" s="1" t="str">
        <f t="shared" si="4"/>
        <v>2/12/2015</v>
      </c>
      <c r="AR2" s="1" t="str">
        <f t="shared" si="4"/>
        <v>1.08</v>
      </c>
      <c r="AS2" s="1" t="str">
        <f t="shared" si="4"/>
        <v>14.61</v>
      </c>
      <c r="AT2" s="1" t="str">
        <f t="shared" si="4"/>
        <v>13.50</v>
      </c>
      <c r="AU2" s="1" t="str">
        <f t="shared" si="4"/>
        <v>1.30</v>
      </c>
      <c r="AV2" s="1" t="str">
        <f t="shared" si="4"/>
        <v>4:00pm</v>
      </c>
      <c r="AW2" s="1" t="str">
        <f t="shared" si="4"/>
        <v/>
      </c>
      <c r="AX2" s="1" t="str">
        <f t="shared" si="4"/>
        <v>139.85</v>
      </c>
      <c r="AY2" s="1" t="str">
        <f t="shared" si="4"/>
        <v>28946154</v>
      </c>
      <c r="AZ2" s="1" t="str">
        <f t="shared" si="4"/>
        <v/>
      </c>
      <c r="BA2" s="1" t="str">
        <f t="shared" si="4"/>
        <v>73.45 - 133.60</v>
      </c>
      <c r="BB2" s="1" t="str">
        <f t="shared" si="4"/>
        <v>NMS</v>
      </c>
    </row>
    <row r="3" spans="1:54" x14ac:dyDescent="0.25">
      <c r="A3" t="s">
        <v>3</v>
      </c>
      <c r="B3" s="1" t="str">
        <f t="shared" si="0"/>
        <v>ORAN</v>
      </c>
      <c r="C3" s="1" t="str">
        <f t="shared" si="0"/>
        <v>16.80</v>
      </c>
      <c r="D3" s="1" t="str">
        <f t="shared" si="0"/>
        <v>714495</v>
      </c>
      <c r="E3" s="1" t="str">
        <f t="shared" si="0"/>
        <v>16.79</v>
      </c>
      <c r="F3" s="1" t="str">
        <f t="shared" si="0"/>
        <v>11.90</v>
      </c>
      <c r="G3" s="1" t="str">
        <f t="shared" si="0"/>
        <v>-0.03</v>
      </c>
      <c r="H3" s="1" t="str">
        <f t="shared" si="0"/>
        <v>USD</v>
      </c>
      <c r="I3" s="1" t="str">
        <f t="shared" si="0"/>
        <v>0.91</v>
      </c>
      <c r="J3" s="1" t="str">
        <f t="shared" si="0"/>
        <v>4/15/2015</v>
      </c>
      <c r="K3" s="1" t="str">
        <f t="shared" si="0"/>
        <v>0.38</v>
      </c>
      <c r="L3" s="1" t="str">
        <f t="shared" si="1"/>
        <v>1.08</v>
      </c>
      <c r="M3" s="1" t="str">
        <f t="shared" si="1"/>
        <v>1.11</v>
      </c>
      <c r="N3" s="1" t="str">
        <f t="shared" si="1"/>
        <v>0.00</v>
      </c>
      <c r="O3" s="1" t="str">
        <f t="shared" si="1"/>
        <v>16.68</v>
      </c>
      <c r="P3" s="1" t="str">
        <f t="shared" si="1"/>
        <v>16.88</v>
      </c>
      <c r="Q3" s="1" t="str">
        <f t="shared" si="1"/>
        <v>13.04</v>
      </c>
      <c r="R3" s="1" t="str">
        <f t="shared" si="1"/>
        <v>18.80</v>
      </c>
      <c r="S3" s="1" t="str">
        <f t="shared" si="1"/>
        <v>44.50B</v>
      </c>
      <c r="T3" s="1" t="str">
        <f t="shared" si="1"/>
        <v>12.08B</v>
      </c>
      <c r="U3" s="1" t="str">
        <f t="shared" si="1"/>
        <v>3.76</v>
      </c>
      <c r="V3" s="1" t="str">
        <f t="shared" si="2"/>
        <v>+28.83%</v>
      </c>
      <c r="W3" s="1" t="str">
        <f t="shared" si="2"/>
        <v>-2.00</v>
      </c>
      <c r="X3" s="1" t="str">
        <f t="shared" si="2"/>
        <v>-10.64%</v>
      </c>
      <c r="Y3" s="1" t="str">
        <f t="shared" si="2"/>
        <v>4:02pm - &lt;b&gt;16.80&lt;/b&gt;</v>
      </c>
      <c r="Z3" s="1" t="str">
        <f t="shared" si="2"/>
        <v>16.80</v>
      </c>
      <c r="AA3" s="1" t="str">
        <f t="shared" si="2"/>
        <v>16.68 - 16.88</v>
      </c>
      <c r="AB3" s="1" t="str">
        <f t="shared" si="2"/>
        <v>16.74</v>
      </c>
      <c r="AC3" s="1" t="str">
        <f t="shared" si="2"/>
        <v>16.49</v>
      </c>
      <c r="AD3" s="1" t="str">
        <f t="shared" si="2"/>
        <v>0.31</v>
      </c>
      <c r="AE3" s="1" t="str">
        <f t="shared" si="2"/>
        <v>+1.88%</v>
      </c>
      <c r="AF3" s="1" t="str">
        <f t="shared" si="3"/>
        <v>0.06</v>
      </c>
      <c r="AG3" s="1" t="str">
        <f t="shared" si="3"/>
        <v>+0.37%</v>
      </c>
      <c r="AH3" s="1" t="str">
        <f t="shared" si="3"/>
        <v>Orange</v>
      </c>
      <c r="AI3" s="1" t="str">
        <f t="shared" si="3"/>
        <v/>
      </c>
      <c r="AJ3" s="1" t="str">
        <f t="shared" si="3"/>
        <v>16.84</v>
      </c>
      <c r="AK3" s="1" t="str">
        <f t="shared" si="3"/>
        <v>16.83</v>
      </c>
      <c r="AL3" s="1" t="str">
        <f t="shared" si="3"/>
        <v/>
      </c>
      <c r="AM3" s="1" t="str">
        <f t="shared" si="3"/>
        <v>-0.18%</v>
      </c>
      <c r="AN3" s="1" t="str">
        <f t="shared" si="3"/>
        <v>1.06</v>
      </c>
      <c r="AO3" s="1" t="str">
        <f t="shared" si="3"/>
        <v>1.41</v>
      </c>
      <c r="AP3" s="1" t="str">
        <f t="shared" si="4"/>
        <v>44.80</v>
      </c>
      <c r="AQ3" s="1" t="str">
        <f t="shared" si="4"/>
        <v>6/29/2015</v>
      </c>
      <c r="AR3" s="1" t="str">
        <f t="shared" si="4"/>
        <v>0.50</v>
      </c>
      <c r="AS3" s="1" t="str">
        <f t="shared" si="4"/>
        <v>15.56</v>
      </c>
      <c r="AT3" s="1" t="str">
        <f t="shared" si="4"/>
        <v>15.14</v>
      </c>
      <c r="AU3" s="1" t="str">
        <f t="shared" si="4"/>
        <v>0.50</v>
      </c>
      <c r="AV3" s="1" t="str">
        <f t="shared" si="4"/>
        <v>4:02pm</v>
      </c>
      <c r="AW3" s="1" t="str">
        <f t="shared" si="4"/>
        <v/>
      </c>
      <c r="AX3" s="1" t="str">
        <f t="shared" si="4"/>
        <v>21.00</v>
      </c>
      <c r="AY3" s="1" t="str">
        <f t="shared" si="4"/>
        <v>447173</v>
      </c>
      <c r="AZ3" s="1" t="str">
        <f t="shared" si="4"/>
        <v/>
      </c>
      <c r="BA3" s="1" t="str">
        <f t="shared" si="4"/>
        <v>13.04 - 18.80</v>
      </c>
      <c r="BB3" s="1" t="str">
        <f t="shared" si="4"/>
        <v>NYQ</v>
      </c>
    </row>
    <row r="4" spans="1:54" x14ac:dyDescent="0.25">
      <c r="A4" t="s">
        <v>4</v>
      </c>
      <c r="B4" s="1" t="str">
        <f t="shared" si="0"/>
        <v>SWJ.DE</v>
      </c>
      <c r="C4" s="1" t="str">
        <f t="shared" si="0"/>
        <v>536.65</v>
      </c>
      <c r="D4" s="1" t="str">
        <f t="shared" si="0"/>
        <v>152</v>
      </c>
      <c r="E4" s="1" t="str">
        <f t="shared" si="0"/>
        <v>534.45</v>
      </c>
      <c r="F4" s="1" t="str">
        <f t="shared" si="0"/>
        <v>107.73</v>
      </c>
      <c r="G4" s="1" t="str">
        <f t="shared" si="0"/>
        <v>-0.60</v>
      </c>
      <c r="H4" s="1" t="str">
        <f t="shared" si="0"/>
        <v>EUR</v>
      </c>
      <c r="I4" s="1" t="str">
        <f t="shared" si="0"/>
        <v/>
      </c>
      <c r="J4" s="1" t="str">
        <f t="shared" si="0"/>
        <v>4/15/2015</v>
      </c>
      <c r="K4" s="1" t="str">
        <f t="shared" si="0"/>
        <v>34.13</v>
      </c>
      <c r="L4" s="1" t="str">
        <f t="shared" si="1"/>
        <v/>
      </c>
      <c r="M4" s="1" t="str">
        <f t="shared" si="1"/>
        <v/>
      </c>
      <c r="N4" s="1" t="str">
        <f t="shared" si="1"/>
        <v>0.00</v>
      </c>
      <c r="O4" s="1" t="str">
        <f t="shared" si="1"/>
        <v>533.95</v>
      </c>
      <c r="P4" s="1" t="str">
        <f t="shared" si="1"/>
        <v>538.10</v>
      </c>
      <c r="Q4" s="1" t="str">
        <f t="shared" si="1"/>
        <v>407.00</v>
      </c>
      <c r="R4" s="1" t="str">
        <f t="shared" si="1"/>
        <v>554.80</v>
      </c>
      <c r="S4" s="1" t="str">
        <f t="shared" si="1"/>
        <v>27.87B</v>
      </c>
      <c r="T4" s="1" t="str">
        <f t="shared" si="1"/>
        <v>4.03B</v>
      </c>
      <c r="U4" s="1" t="str">
        <f t="shared" si="1"/>
        <v>131.10</v>
      </c>
      <c r="V4" s="1" t="str">
        <f t="shared" si="2"/>
        <v>+32.21%</v>
      </c>
      <c r="W4" s="1" t="str">
        <f t="shared" si="2"/>
        <v>-16.70</v>
      </c>
      <c r="X4" s="1" t="str">
        <f t="shared" si="2"/>
        <v>-3.01%</v>
      </c>
      <c r="Y4" s="1" t="str">
        <f t="shared" si="2"/>
        <v>5:16pm - &lt;b&gt;538.10&lt;/b&gt;</v>
      </c>
      <c r="Z4" s="1" t="str">
        <f t="shared" si="2"/>
        <v>538.10</v>
      </c>
      <c r="AA4" s="1" t="str">
        <f t="shared" si="2"/>
        <v>533.95 - 538.10</v>
      </c>
      <c r="AB4" s="1" t="str">
        <f t="shared" si="2"/>
        <v>531.83</v>
      </c>
      <c r="AC4" s="1" t="str">
        <f t="shared" si="2"/>
        <v>485.81</v>
      </c>
      <c r="AD4" s="1" t="str">
        <f t="shared" si="2"/>
        <v>52.29</v>
      </c>
      <c r="AE4" s="1" t="str">
        <f t="shared" si="2"/>
        <v>+10.76%</v>
      </c>
      <c r="AF4" s="1" t="str">
        <f t="shared" si="3"/>
        <v>6.27</v>
      </c>
      <c r="AG4" s="1" t="str">
        <f t="shared" si="3"/>
        <v>+1.18%</v>
      </c>
      <c r="AH4" s="1" t="str">
        <f t="shared" si="3"/>
        <v>SWISSCOM REG</v>
      </c>
      <c r="AI4" s="1" t="str">
        <f t="shared" si="3"/>
        <v/>
      </c>
      <c r="AJ4" s="1" t="str">
        <f t="shared" si="3"/>
        <v>535.00</v>
      </c>
      <c r="AK4" s="1" t="str">
        <f t="shared" si="3"/>
        <v>538.70</v>
      </c>
      <c r="AL4" s="1" t="str">
        <f t="shared" si="3"/>
        <v/>
      </c>
      <c r="AM4" s="1" t="str">
        <f t="shared" si="3"/>
        <v>-0.11%</v>
      </c>
      <c r="AN4" s="1" t="str">
        <f t="shared" si="3"/>
        <v>2.33</v>
      </c>
      <c r="AO4" s="1" t="str">
        <f t="shared" si="3"/>
        <v>5.00</v>
      </c>
      <c r="AP4" s="1" t="str">
        <f t="shared" si="4"/>
        <v>16.08</v>
      </c>
      <c r="AQ4" s="1" t="str">
        <f t="shared" si="4"/>
        <v/>
      </c>
      <c r="AR4" s="1" t="str">
        <f t="shared" si="4"/>
        <v>0.00</v>
      </c>
      <c r="AS4" s="1" t="str">
        <f t="shared" si="4"/>
        <v/>
      </c>
      <c r="AT4" s="1" t="str">
        <f t="shared" si="4"/>
        <v/>
      </c>
      <c r="AU4" s="1" t="str">
        <f t="shared" si="4"/>
        <v>0.00</v>
      </c>
      <c r="AV4" s="1" t="str">
        <f t="shared" si="4"/>
        <v>5:16pm</v>
      </c>
      <c r="AW4" s="1" t="str">
        <f t="shared" si="4"/>
        <v/>
      </c>
      <c r="AX4" s="1" t="str">
        <f t="shared" si="4"/>
        <v/>
      </c>
      <c r="AY4" s="1" t="str">
        <f t="shared" si="4"/>
        <v>51</v>
      </c>
      <c r="AZ4" s="1" t="str">
        <f t="shared" si="4"/>
        <v/>
      </c>
      <c r="BA4" s="1" t="str">
        <f t="shared" si="4"/>
        <v>407.00 - 554.80</v>
      </c>
      <c r="BB4" s="1" t="str">
        <f t="shared" si="4"/>
        <v>GER</v>
      </c>
    </row>
    <row r="5" spans="1:54" x14ac:dyDescent="0.25">
      <c r="A5" t="s">
        <v>5</v>
      </c>
      <c r="B5" s="1" t="str">
        <f t="shared" si="0"/>
        <v>MRI-U.TO</v>
      </c>
      <c r="C5" s="1" t="str">
        <f t="shared" si="0"/>
        <v>16.25</v>
      </c>
      <c r="D5" s="1" t="str">
        <f t="shared" si="0"/>
        <v/>
      </c>
      <c r="E5" s="1" t="str">
        <f t="shared" si="0"/>
        <v>14.25</v>
      </c>
      <c r="F5" s="1" t="str">
        <f t="shared" si="0"/>
        <v>0.00</v>
      </c>
      <c r="G5" s="1" t="str">
        <f t="shared" si="0"/>
        <v>+0.00</v>
      </c>
      <c r="H5" s="1" t="str">
        <f t="shared" si="0"/>
        <v>USD</v>
      </c>
      <c r="I5" s="1" t="str">
        <f t="shared" si="0"/>
        <v/>
      </c>
      <c r="J5" s="1" t="str">
        <f t="shared" si="0"/>
        <v>4/9/2015</v>
      </c>
      <c r="K5" s="1" t="str">
        <f t="shared" si="0"/>
        <v/>
      </c>
      <c r="L5" s="1" t="str">
        <f t="shared" si="1"/>
        <v>1.93</v>
      </c>
      <c r="M5" s="1" t="str">
        <f t="shared" si="1"/>
        <v/>
      </c>
      <c r="N5" s="1" t="str">
        <f t="shared" si="1"/>
        <v>0.00</v>
      </c>
      <c r="O5" s="1" t="str">
        <f t="shared" si="1"/>
        <v>14.79</v>
      </c>
      <c r="P5" s="1" t="str">
        <f t="shared" si="1"/>
        <v>14.79</v>
      </c>
      <c r="Q5" s="1" t="str">
        <f t="shared" si="1"/>
        <v>7.73</v>
      </c>
      <c r="R5" s="1" t="str">
        <f t="shared" si="1"/>
        <v>14.79</v>
      </c>
      <c r="S5" s="1" t="str">
        <f t="shared" si="1"/>
        <v/>
      </c>
      <c r="T5" s="1" t="str">
        <f t="shared" si="1"/>
        <v>0.00</v>
      </c>
      <c r="U5" s="1" t="str">
        <f t="shared" si="1"/>
        <v>7.06</v>
      </c>
      <c r="V5" s="1" t="str">
        <f t="shared" si="2"/>
        <v>+91.33%</v>
      </c>
      <c r="W5" s="1" t="str">
        <f t="shared" si="2"/>
        <v>0.00</v>
      </c>
      <c r="X5" s="1" t="str">
        <f t="shared" si="2"/>
        <v>+0.00%</v>
      </c>
      <c r="Y5" s="1" t="str">
        <f t="shared" si="2"/>
        <v>2:32pm - &lt;b&gt;14.79&lt;/b&gt;</v>
      </c>
      <c r="Z5" s="1" t="str">
        <f t="shared" si="2"/>
        <v>14.79</v>
      </c>
      <c r="AA5" s="1" t="str">
        <f t="shared" si="2"/>
        <v>14.79 - 14.79</v>
      </c>
      <c r="AB5" s="1" t="str">
        <f t="shared" si="2"/>
        <v>0.00</v>
      </c>
      <c r="AC5" s="1" t="str">
        <f t="shared" si="2"/>
        <v>0.00</v>
      </c>
      <c r="AD5" s="1" t="str">
        <f t="shared" si="2"/>
        <v>14.79</v>
      </c>
      <c r="AE5" s="1" t="str">
        <f t="shared" si="2"/>
        <v>+inf%</v>
      </c>
      <c r="AF5" s="1" t="str">
        <f t="shared" si="3"/>
        <v>14.79</v>
      </c>
      <c r="AG5" s="1" t="str">
        <f t="shared" si="3"/>
        <v>+inf%</v>
      </c>
      <c r="AH5" s="1" t="str">
        <f t="shared" si="3"/>
        <v>MERCER INTERNATIONAL INC</v>
      </c>
      <c r="AI5" s="1" t="str">
        <f t="shared" si="3"/>
        <v/>
      </c>
      <c r="AJ5" s="1" t="str">
        <f t="shared" si="3"/>
        <v>14.79</v>
      </c>
      <c r="AK5" s="1" t="str">
        <f t="shared" si="3"/>
        <v>14.79</v>
      </c>
      <c r="AL5" s="1" t="str">
        <f t="shared" si="3"/>
        <v/>
      </c>
      <c r="AM5" s="1" t="str">
        <f t="shared" si="3"/>
        <v>+0.00%</v>
      </c>
      <c r="AN5" s="1" t="str">
        <f t="shared" si="3"/>
        <v/>
      </c>
      <c r="AO5" s="1" t="str">
        <f t="shared" si="3"/>
        <v/>
      </c>
      <c r="AP5" s="1" t="str">
        <f t="shared" si="4"/>
        <v>113.77</v>
      </c>
      <c r="AQ5" s="1" t="str">
        <f t="shared" si="4"/>
        <v/>
      </c>
      <c r="AR5" s="1" t="str">
        <f t="shared" si="4"/>
        <v>0.00</v>
      </c>
      <c r="AS5" s="1" t="str">
        <f t="shared" si="4"/>
        <v/>
      </c>
      <c r="AT5" s="1" t="str">
        <f t="shared" si="4"/>
        <v/>
      </c>
      <c r="AU5" s="1" t="str">
        <f t="shared" si="4"/>
        <v>0.00</v>
      </c>
      <c r="AV5" s="1" t="str">
        <f t="shared" si="4"/>
        <v>2:32pm</v>
      </c>
      <c r="AW5" s="1" t="str">
        <f t="shared" si="4"/>
        <v/>
      </c>
      <c r="AX5" s="1" t="str">
        <f t="shared" si="4"/>
        <v/>
      </c>
      <c r="AY5" s="1" t="str">
        <f t="shared" si="4"/>
        <v>250</v>
      </c>
      <c r="AZ5" s="1" t="str">
        <f t="shared" si="4"/>
        <v/>
      </c>
      <c r="BA5" s="1" t="str">
        <f t="shared" si="4"/>
        <v>7.73 - 14.79</v>
      </c>
      <c r="BB5" s="1" t="str">
        <f t="shared" si="4"/>
        <v>TOR</v>
      </c>
    </row>
    <row r="6" spans="1:54" x14ac:dyDescent="0.25">
      <c r="A6" t="s">
        <v>58</v>
      </c>
      <c r="B6" s="1" t="str">
        <f t="shared" si="0"/>
        <v>FBOK34.SA</v>
      </c>
      <c r="C6" s="1" t="str">
        <f t="shared" si="0"/>
        <v>127.60</v>
      </c>
      <c r="D6" s="1" t="str">
        <f t="shared" si="0"/>
        <v>434</v>
      </c>
      <c r="E6" s="1" t="str">
        <f t="shared" si="0"/>
        <v>124.20</v>
      </c>
      <c r="F6" s="1" t="str">
        <f t="shared" si="0"/>
        <v>12.99</v>
      </c>
      <c r="G6" s="1" t="str">
        <f t="shared" si="0"/>
        <v>+0.00</v>
      </c>
      <c r="H6" s="1" t="str">
        <f t="shared" si="0"/>
        <v>BRL</v>
      </c>
      <c r="I6" s="1" t="str">
        <f t="shared" si="0"/>
        <v/>
      </c>
      <c r="J6" s="1" t="str">
        <f t="shared" si="0"/>
        <v>4/14/2015</v>
      </c>
      <c r="K6" s="1" t="str">
        <f t="shared" si="0"/>
        <v>1.11</v>
      </c>
      <c r="L6" s="1" t="str">
        <f t="shared" si="1"/>
        <v/>
      </c>
      <c r="M6" s="1" t="str">
        <f t="shared" si="1"/>
        <v/>
      </c>
      <c r="N6" s="1" t="str">
        <f t="shared" si="1"/>
        <v>0.00</v>
      </c>
      <c r="O6" s="1" t="str">
        <f t="shared" si="1"/>
        <v>127.44</v>
      </c>
      <c r="P6" s="1" t="str">
        <f t="shared" si="1"/>
        <v>127.44</v>
      </c>
      <c r="Q6" s="1" t="str">
        <f t="shared" si="1"/>
        <v>63.60</v>
      </c>
      <c r="R6" s="1" t="str">
        <f t="shared" si="1"/>
        <v>132.40</v>
      </c>
      <c r="S6" s="1" t="str">
        <f t="shared" si="1"/>
        <v>356.71B</v>
      </c>
      <c r="T6" s="1" t="str">
        <f t="shared" si="1"/>
        <v>6.23B</v>
      </c>
      <c r="U6" s="1" t="str">
        <f t="shared" si="1"/>
        <v>63.84</v>
      </c>
      <c r="V6" s="1" t="str">
        <f t="shared" si="2"/>
        <v>+100.38%</v>
      </c>
      <c r="W6" s="1" t="str">
        <f t="shared" si="2"/>
        <v>-4.96</v>
      </c>
      <c r="X6" s="1" t="str">
        <f t="shared" si="2"/>
        <v>-3.75%</v>
      </c>
      <c r="Y6" s="1" t="str">
        <f t="shared" si="2"/>
        <v>4:29pm - &lt;b&gt;127.44&lt;/b&gt;</v>
      </c>
      <c r="Z6" s="1" t="str">
        <f t="shared" si="2"/>
        <v>127.44</v>
      </c>
      <c r="AA6" s="1" t="str">
        <f t="shared" si="2"/>
        <v>127.44 - 127.44</v>
      </c>
      <c r="AB6" s="1" t="str">
        <f t="shared" si="2"/>
        <v>124.86</v>
      </c>
      <c r="AC6" s="1" t="str">
        <f t="shared" si="2"/>
        <v>106.16</v>
      </c>
      <c r="AD6" s="1" t="str">
        <f t="shared" si="2"/>
        <v>21.28</v>
      </c>
      <c r="AE6" s="1" t="str">
        <f t="shared" si="2"/>
        <v>+20.05%</v>
      </c>
      <c r="AF6" s="1" t="str">
        <f t="shared" si="3"/>
        <v>2.58</v>
      </c>
      <c r="AG6" s="1" t="str">
        <f t="shared" si="3"/>
        <v>+2.06%</v>
      </c>
      <c r="AH6" s="1" t="str">
        <f t="shared" si="3"/>
        <v>FACEBOOK    DRN</v>
      </c>
      <c r="AI6" s="1" t="str">
        <f t="shared" si="3"/>
        <v/>
      </c>
      <c r="AJ6" s="1" t="str">
        <f t="shared" si="3"/>
        <v>127.44</v>
      </c>
      <c r="AK6" s="1" t="str">
        <f t="shared" si="3"/>
        <v>127.44</v>
      </c>
      <c r="AL6" s="1" t="str">
        <f t="shared" si="3"/>
        <v/>
      </c>
      <c r="AM6" s="1" t="str">
        <f t="shared" si="3"/>
        <v>+0.00%</v>
      </c>
      <c r="AN6" s="1" t="str">
        <f t="shared" si="3"/>
        <v>28.61</v>
      </c>
      <c r="AO6" s="1" t="str">
        <f t="shared" si="3"/>
        <v>9.81</v>
      </c>
      <c r="AP6" s="1" t="str">
        <f t="shared" si="4"/>
        <v>114.60</v>
      </c>
      <c r="AQ6" s="1" t="str">
        <f t="shared" si="4"/>
        <v/>
      </c>
      <c r="AR6" s="1" t="str">
        <f t="shared" si="4"/>
        <v>0.00</v>
      </c>
      <c r="AS6" s="1" t="str">
        <f t="shared" si="4"/>
        <v/>
      </c>
      <c r="AT6" s="1" t="str">
        <f t="shared" si="4"/>
        <v/>
      </c>
      <c r="AU6" s="1" t="str">
        <f t="shared" si="4"/>
        <v>0.00</v>
      </c>
      <c r="AV6" s="1" t="str">
        <f t="shared" si="4"/>
        <v>4:29pm</v>
      </c>
      <c r="AW6" s="1" t="str">
        <f t="shared" si="4"/>
        <v/>
      </c>
      <c r="AX6" s="1" t="str">
        <f t="shared" si="4"/>
        <v/>
      </c>
      <c r="AY6" s="1" t="str">
        <f t="shared" si="4"/>
        <v>100</v>
      </c>
      <c r="AZ6" s="1" t="str">
        <f t="shared" si="4"/>
        <v/>
      </c>
      <c r="BA6" s="1" t="str">
        <f t="shared" si="4"/>
        <v>63.60 - 132.40</v>
      </c>
      <c r="BB6" s="1" t="str">
        <f t="shared" si="4"/>
        <v>SAO</v>
      </c>
    </row>
    <row r="7" spans="1:54" x14ac:dyDescent="0.25">
      <c r="A7" t="s">
        <v>59</v>
      </c>
      <c r="B7" s="1" t="str">
        <f t="shared" si="0"/>
        <v>DBK.MU</v>
      </c>
      <c r="C7" s="1" t="str">
        <f t="shared" si="0"/>
        <v>32.97</v>
      </c>
      <c r="D7" s="1" t="str">
        <f t="shared" si="0"/>
        <v>9034</v>
      </c>
      <c r="E7" s="1" t="str">
        <f t="shared" si="0"/>
        <v>32.92</v>
      </c>
      <c r="F7" s="1" t="str">
        <f t="shared" si="0"/>
        <v>0.00</v>
      </c>
      <c r="G7" s="1" t="str">
        <f t="shared" si="0"/>
        <v>+0.16</v>
      </c>
      <c r="H7" s="1" t="str">
        <f t="shared" si="0"/>
        <v>EUR</v>
      </c>
      <c r="I7" s="1" t="str">
        <f t="shared" si="0"/>
        <v/>
      </c>
      <c r="J7" s="1" t="str">
        <f t="shared" si="0"/>
        <v>4/15/2015</v>
      </c>
      <c r="K7" s="1" t="str">
        <f t="shared" si="0"/>
        <v/>
      </c>
      <c r="L7" s="1" t="str">
        <f t="shared" si="1"/>
        <v/>
      </c>
      <c r="M7" s="1" t="str">
        <f t="shared" si="1"/>
        <v/>
      </c>
      <c r="N7" s="1" t="str">
        <f t="shared" si="1"/>
        <v>0.00</v>
      </c>
      <c r="O7" s="1" t="str">
        <f t="shared" si="1"/>
        <v>32.83</v>
      </c>
      <c r="P7" s="1" t="str">
        <f t="shared" si="1"/>
        <v>33.08</v>
      </c>
      <c r="Q7" s="1" t="str">
        <f t="shared" si="1"/>
        <v>22.86</v>
      </c>
      <c r="R7" s="1" t="str">
        <f t="shared" si="1"/>
        <v>33.38</v>
      </c>
      <c r="S7" s="1" t="str">
        <f t="shared" si="1"/>
        <v/>
      </c>
      <c r="T7" s="1" t="str">
        <f t="shared" si="1"/>
        <v>0.00</v>
      </c>
      <c r="U7" s="1" t="str">
        <f t="shared" si="1"/>
        <v>10.17</v>
      </c>
      <c r="V7" s="1" t="str">
        <f t="shared" si="2"/>
        <v>+44.47%</v>
      </c>
      <c r="W7" s="1" t="str">
        <f t="shared" si="2"/>
        <v>-0.35</v>
      </c>
      <c r="X7" s="1" t="str">
        <f t="shared" si="2"/>
        <v>-1.06%</v>
      </c>
      <c r="Y7" s="1" t="str">
        <f t="shared" si="2"/>
        <v>7:21pm - &lt;b&gt;33.03&lt;/b&gt;</v>
      </c>
      <c r="Z7" s="1" t="str">
        <f t="shared" si="2"/>
        <v>33.03</v>
      </c>
      <c r="AA7" s="1" t="str">
        <f t="shared" si="2"/>
        <v>32.83 - 33.08</v>
      </c>
      <c r="AB7" s="1" t="str">
        <f t="shared" si="2"/>
        <v>31.12</v>
      </c>
      <c r="AC7" s="1" t="str">
        <f t="shared" si="2"/>
        <v>27.01</v>
      </c>
      <c r="AD7" s="1" t="str">
        <f t="shared" si="2"/>
        <v>6.02</v>
      </c>
      <c r="AE7" s="1" t="str">
        <f t="shared" si="2"/>
        <v>+22.28%</v>
      </c>
      <c r="AF7" s="1" t="str">
        <f t="shared" si="3"/>
        <v>1.91</v>
      </c>
      <c r="AG7" s="1" t="str">
        <f t="shared" si="3"/>
        <v>+6.12%</v>
      </c>
      <c r="AH7" s="1" t="str">
        <f t="shared" si="3"/>
        <v>DEUTSCHE BANK N</v>
      </c>
      <c r="AI7" s="1" t="str">
        <f t="shared" si="3"/>
        <v/>
      </c>
      <c r="AJ7" s="1" t="str">
        <f t="shared" si="3"/>
        <v>32.83</v>
      </c>
      <c r="AK7" s="1" t="str">
        <f t="shared" si="3"/>
        <v>32.87</v>
      </c>
      <c r="AL7" s="1" t="str">
        <f t="shared" si="3"/>
        <v/>
      </c>
      <c r="AM7" s="1" t="str">
        <f t="shared" si="3"/>
        <v>+0.49%</v>
      </c>
      <c r="AN7" s="1" t="str">
        <f t="shared" si="3"/>
        <v/>
      </c>
      <c r="AO7" s="1" t="str">
        <f t="shared" si="3"/>
        <v/>
      </c>
      <c r="AP7" s="1" t="str">
        <f t="shared" si="4"/>
        <v/>
      </c>
      <c r="AQ7" s="1" t="str">
        <f t="shared" si="4"/>
        <v/>
      </c>
      <c r="AR7" s="1" t="str">
        <f t="shared" si="4"/>
        <v>0.00</v>
      </c>
      <c r="AS7" s="1" t="str">
        <f t="shared" si="4"/>
        <v/>
      </c>
      <c r="AT7" s="1" t="str">
        <f t="shared" si="4"/>
        <v/>
      </c>
      <c r="AU7" s="1" t="str">
        <f t="shared" si="4"/>
        <v>0.00</v>
      </c>
      <c r="AV7" s="1" t="str">
        <f t="shared" si="4"/>
        <v>7:21pm</v>
      </c>
      <c r="AW7" s="1" t="str">
        <f t="shared" si="4"/>
        <v/>
      </c>
      <c r="AX7" s="1" t="str">
        <f t="shared" si="4"/>
        <v/>
      </c>
      <c r="AY7" s="1" t="str">
        <f t="shared" si="4"/>
        <v>986</v>
      </c>
      <c r="AZ7" s="1" t="str">
        <f t="shared" si="4"/>
        <v/>
      </c>
      <c r="BA7" s="1" t="str">
        <f t="shared" si="4"/>
        <v>22.86 - 33.38</v>
      </c>
      <c r="BB7" s="1" t="str">
        <f t="shared" si="4"/>
        <v>MUN</v>
      </c>
    </row>
    <row r="8" spans="1:54" x14ac:dyDescent="0.25">
      <c r="A8" t="s">
        <v>60</v>
      </c>
      <c r="B8" s="1" t="str">
        <f t="shared" si="0"/>
        <v>TWR.DE</v>
      </c>
      <c r="C8" s="1" t="str">
        <f t="shared" si="0"/>
        <v>48.29</v>
      </c>
      <c r="D8" s="1" t="str">
        <f t="shared" si="0"/>
        <v>13687</v>
      </c>
      <c r="E8" s="1" t="str">
        <f t="shared" si="0"/>
        <v>48.24</v>
      </c>
      <c r="F8" s="1" t="str">
        <f t="shared" si="0"/>
        <v>5.69</v>
      </c>
      <c r="G8" s="1" t="str">
        <f t="shared" si="0"/>
        <v>+0.23</v>
      </c>
      <c r="H8" s="1" t="str">
        <f t="shared" si="0"/>
        <v>EUR</v>
      </c>
      <c r="I8" s="1" t="str">
        <f t="shared" si="0"/>
        <v/>
      </c>
      <c r="J8" s="1" t="str">
        <f t="shared" si="0"/>
        <v>4/15/2015</v>
      </c>
      <c r="K8" s="1" t="str">
        <f t="shared" si="0"/>
        <v>-0.96</v>
      </c>
      <c r="L8" s="1" t="str">
        <f t="shared" si="1"/>
        <v/>
      </c>
      <c r="M8" s="1" t="str">
        <f t="shared" si="1"/>
        <v/>
      </c>
      <c r="N8" s="1" t="str">
        <f t="shared" si="1"/>
        <v>0.00</v>
      </c>
      <c r="O8" s="1" t="str">
        <f t="shared" si="1"/>
        <v>47.88</v>
      </c>
      <c r="P8" s="1" t="str">
        <f t="shared" si="1"/>
        <v>48.65</v>
      </c>
      <c r="Q8" s="1" t="str">
        <f t="shared" si="1"/>
        <v>21.54</v>
      </c>
      <c r="R8" s="1" t="str">
        <f t="shared" si="1"/>
        <v>49.57</v>
      </c>
      <c r="S8" s="1" t="str">
        <f t="shared" si="1"/>
        <v>30.75B</v>
      </c>
      <c r="T8" s="1" t="str">
        <f t="shared" si="1"/>
        <v>-345.90M</v>
      </c>
      <c r="U8" s="1" t="str">
        <f t="shared" si="1"/>
        <v>26.69</v>
      </c>
      <c r="V8" s="1" t="str">
        <f t="shared" si="2"/>
        <v>+123.93%</v>
      </c>
      <c r="W8" s="1" t="str">
        <f t="shared" si="2"/>
        <v>-1.33</v>
      </c>
      <c r="X8" s="1" t="str">
        <f t="shared" si="2"/>
        <v>-2.69%</v>
      </c>
      <c r="Y8" s="1" t="str">
        <f t="shared" si="2"/>
        <v>5:35pm - &lt;b&gt;48.24&lt;/b&gt;</v>
      </c>
      <c r="Z8" s="1" t="str">
        <f t="shared" si="2"/>
        <v>48.24</v>
      </c>
      <c r="AA8" s="1" t="str">
        <f t="shared" si="2"/>
        <v>47.88 - 48.65</v>
      </c>
      <c r="AB8" s="1" t="str">
        <f t="shared" si="2"/>
        <v>0.00</v>
      </c>
      <c r="AC8" s="1" t="str">
        <f t="shared" si="2"/>
        <v>0.00</v>
      </c>
      <c r="AD8" s="1" t="str">
        <f t="shared" si="2"/>
        <v>48.24</v>
      </c>
      <c r="AE8" s="1" t="str">
        <f t="shared" si="2"/>
        <v>+inf%</v>
      </c>
      <c r="AF8" s="1" t="str">
        <f t="shared" si="3"/>
        <v>48.24</v>
      </c>
      <c r="AG8" s="1" t="str">
        <f t="shared" si="3"/>
        <v>+inf%</v>
      </c>
      <c r="AH8" s="1" t="str">
        <f t="shared" si="3"/>
        <v>TWITTER</v>
      </c>
      <c r="AI8" s="1" t="str">
        <f t="shared" si="3"/>
        <v/>
      </c>
      <c r="AJ8" s="1" t="str">
        <f t="shared" si="3"/>
        <v>48.35</v>
      </c>
      <c r="AK8" s="1" t="str">
        <f t="shared" si="3"/>
        <v>48.01</v>
      </c>
      <c r="AL8" s="1" t="str">
        <f t="shared" si="3"/>
        <v/>
      </c>
      <c r="AM8" s="1" t="str">
        <f t="shared" si="3"/>
        <v>+0.48%</v>
      </c>
      <c r="AN8" s="1" t="str">
        <f t="shared" si="3"/>
        <v>21.81</v>
      </c>
      <c r="AO8" s="1" t="str">
        <f t="shared" si="3"/>
        <v>8.44</v>
      </c>
      <c r="AP8" s="1" t="str">
        <f t="shared" si="4"/>
        <v/>
      </c>
      <c r="AQ8" s="1" t="str">
        <f t="shared" si="4"/>
        <v/>
      </c>
      <c r="AR8" s="1" t="str">
        <f t="shared" si="4"/>
        <v>0.00</v>
      </c>
      <c r="AS8" s="1" t="str">
        <f t="shared" si="4"/>
        <v/>
      </c>
      <c r="AT8" s="1" t="str">
        <f t="shared" si="4"/>
        <v/>
      </c>
      <c r="AU8" s="1" t="str">
        <f t="shared" si="4"/>
        <v>0.00</v>
      </c>
      <c r="AV8" s="1" t="str">
        <f t="shared" si="4"/>
        <v>5:35pm</v>
      </c>
      <c r="AW8" s="1" t="str">
        <f t="shared" si="4"/>
        <v/>
      </c>
      <c r="AX8" s="1" t="str">
        <f t="shared" si="4"/>
        <v/>
      </c>
      <c r="AY8" s="1" t="str">
        <f t="shared" si="4"/>
        <v>9162</v>
      </c>
      <c r="AZ8" s="1" t="str">
        <f t="shared" si="4"/>
        <v/>
      </c>
      <c r="BA8" s="1" t="str">
        <f t="shared" si="4"/>
        <v>21.54 - 49.57</v>
      </c>
      <c r="BB8" s="1" t="str">
        <f t="shared" si="4"/>
        <v>GER</v>
      </c>
    </row>
    <row r="9" spans="1:54" x14ac:dyDescent="0.25">
      <c r="A9" t="s">
        <v>61</v>
      </c>
      <c r="B9" s="1" t="str">
        <f t="shared" si="0"/>
        <v>CTR.L</v>
      </c>
      <c r="C9" s="1" t="str">
        <f t="shared" si="0"/>
        <v>234.25</v>
      </c>
      <c r="D9" s="1" t="str">
        <f t="shared" si="0"/>
        <v>61972</v>
      </c>
      <c r="E9" s="1" t="str">
        <f t="shared" si="0"/>
        <v>233.75</v>
      </c>
      <c r="F9" s="1" t="str">
        <f t="shared" si="0"/>
        <v>1.12</v>
      </c>
      <c r="G9" s="1" t="str">
        <f t="shared" si="0"/>
        <v>+1.00</v>
      </c>
      <c r="H9" s="1" t="str">
        <f t="shared" si="0"/>
        <v>GBp</v>
      </c>
      <c r="I9" s="1" t="str">
        <f t="shared" si="0"/>
        <v/>
      </c>
      <c r="J9" s="1" t="str">
        <f t="shared" si="0"/>
        <v>4/15/2015</v>
      </c>
      <c r="K9" s="1" t="str">
        <f t="shared" si="0"/>
        <v>0.29</v>
      </c>
      <c r="L9" s="1" t="str">
        <f t="shared" si="1"/>
        <v>20.25</v>
      </c>
      <c r="M9" s="1" t="str">
        <f t="shared" si="1"/>
        <v/>
      </c>
      <c r="N9" s="1" t="str">
        <f t="shared" si="1"/>
        <v>0.00</v>
      </c>
      <c r="O9" s="1" t="str">
        <f t="shared" si="1"/>
        <v>230.00</v>
      </c>
      <c r="P9" s="1" t="str">
        <f t="shared" si="1"/>
        <v>239.38</v>
      </c>
      <c r="Q9" s="1" t="str">
        <f t="shared" si="1"/>
        <v>185.81</v>
      </c>
      <c r="R9" s="1" t="str">
        <f t="shared" si="1"/>
        <v>258.56</v>
      </c>
      <c r="S9" s="1" t="str">
        <f t="shared" si="1"/>
        <v>100.92M</v>
      </c>
      <c r="T9" s="1" t="str">
        <f t="shared" si="1"/>
        <v>20.85M</v>
      </c>
      <c r="U9" s="1" t="str">
        <f t="shared" si="1"/>
        <v>48.19</v>
      </c>
      <c r="V9" s="1" t="str">
        <f t="shared" si="2"/>
        <v>+25.93%</v>
      </c>
      <c r="W9" s="1" t="str">
        <f t="shared" si="2"/>
        <v>-24.56</v>
      </c>
      <c r="X9" s="1" t="str">
        <f t="shared" si="2"/>
        <v>-9.50%</v>
      </c>
      <c r="Y9" s="1" t="str">
        <f t="shared" si="2"/>
        <v>4:35pm - &lt;b&gt;234.00&lt;/b&gt;</v>
      </c>
      <c r="Z9" s="1" t="str">
        <f t="shared" si="2"/>
        <v>234.00</v>
      </c>
      <c r="AA9" s="1" t="str">
        <f t="shared" si="2"/>
        <v>230.00 - 239.38</v>
      </c>
      <c r="AB9" s="1" t="str">
        <f t="shared" si="2"/>
        <v>234.13</v>
      </c>
      <c r="AC9" s="1" t="str">
        <f t="shared" si="2"/>
        <v>224.32</v>
      </c>
      <c r="AD9" s="1" t="str">
        <f t="shared" si="2"/>
        <v>9.68</v>
      </c>
      <c r="AE9" s="1" t="str">
        <f t="shared" si="2"/>
        <v>+4.31%</v>
      </c>
      <c r="AF9" s="1" t="str">
        <f t="shared" si="3"/>
        <v>-0.13</v>
      </c>
      <c r="AG9" s="1" t="str">
        <f t="shared" si="3"/>
        <v>-0.06%</v>
      </c>
      <c r="AH9" s="1" t="str">
        <f t="shared" si="3"/>
        <v>CHARLES TAYLOR</v>
      </c>
      <c r="AI9" s="1" t="str">
        <f t="shared" si="3"/>
        <v/>
      </c>
      <c r="AJ9" s="1" t="str">
        <f t="shared" si="3"/>
        <v>230.00</v>
      </c>
      <c r="AK9" s="1" t="str">
        <f t="shared" si="3"/>
        <v>233.00</v>
      </c>
      <c r="AL9" s="1" t="str">
        <f t="shared" si="3"/>
        <v/>
      </c>
      <c r="AM9" s="1" t="str">
        <f t="shared" si="3"/>
        <v>+0.43%</v>
      </c>
      <c r="AN9" s="1" t="str">
        <f t="shared" si="3"/>
        <v>55.63</v>
      </c>
      <c r="AO9" s="1" t="str">
        <f t="shared" si="3"/>
        <v>208.78</v>
      </c>
      <c r="AP9" s="1" t="str">
        <f t="shared" si="4"/>
        <v>823.94</v>
      </c>
      <c r="AQ9" s="1" t="str">
        <f t="shared" si="4"/>
        <v/>
      </c>
      <c r="AR9" s="1" t="str">
        <f t="shared" si="4"/>
        <v>0.00</v>
      </c>
      <c r="AS9" s="1" t="str">
        <f t="shared" si="4"/>
        <v>11.56</v>
      </c>
      <c r="AT9" s="1" t="str">
        <f t="shared" si="4"/>
        <v>10.68</v>
      </c>
      <c r="AU9" s="1" t="str">
        <f t="shared" si="4"/>
        <v>0.00</v>
      </c>
      <c r="AV9" s="1" t="str">
        <f t="shared" si="4"/>
        <v>4:35pm</v>
      </c>
      <c r="AW9" s="1" t="str">
        <f t="shared" si="4"/>
        <v/>
      </c>
      <c r="AX9" s="1" t="str">
        <f t="shared" si="4"/>
        <v/>
      </c>
      <c r="AY9" s="1" t="str">
        <f t="shared" si="4"/>
        <v>1017</v>
      </c>
      <c r="AZ9" s="1" t="str">
        <f t="shared" si="4"/>
        <v/>
      </c>
      <c r="BA9" s="1" t="str">
        <f t="shared" si="4"/>
        <v>185.81 - 258.56</v>
      </c>
      <c r="BB9" s="1" t="str">
        <f t="shared" si="4"/>
        <v>LSE</v>
      </c>
    </row>
    <row r="10" spans="1:54" x14ac:dyDescent="0.25">
      <c r="A10" t="s">
        <v>62</v>
      </c>
      <c r="B10" s="1" t="str">
        <f t="shared" si="0"/>
        <v>RNO.SW</v>
      </c>
      <c r="C10" s="1" t="str">
        <f t="shared" si="0"/>
        <v>93.40</v>
      </c>
      <c r="D10" s="1" t="str">
        <f t="shared" si="0"/>
        <v>14</v>
      </c>
      <c r="E10" s="1" t="str">
        <f t="shared" si="0"/>
        <v>91.65</v>
      </c>
      <c r="F10" s="1" t="str">
        <f t="shared" si="0"/>
        <v>0.00</v>
      </c>
      <c r="G10" s="1" t="str">
        <f t="shared" si="0"/>
        <v>+19.55</v>
      </c>
      <c r="H10" s="1" t="str">
        <f t="shared" si="0"/>
        <v>CHF</v>
      </c>
      <c r="I10" s="1" t="str">
        <f t="shared" si="0"/>
        <v/>
      </c>
      <c r="J10" s="1" t="str">
        <f t="shared" si="0"/>
        <v>3/6/2015</v>
      </c>
      <c r="K10" s="1" t="str">
        <f t="shared" si="0"/>
        <v/>
      </c>
      <c r="L10" s="1" t="str">
        <f t="shared" si="1"/>
        <v/>
      </c>
      <c r="M10" s="1" t="str">
        <f t="shared" si="1"/>
        <v/>
      </c>
      <c r="N10" s="1" t="str">
        <f t="shared" si="1"/>
        <v>0.00</v>
      </c>
      <c r="O10" s="1" t="str">
        <f t="shared" si="1"/>
        <v>90.90</v>
      </c>
      <c r="P10" s="1" t="str">
        <f t="shared" si="1"/>
        <v>90.90</v>
      </c>
      <c r="Q10" s="1" t="str">
        <f t="shared" si="1"/>
        <v>18.80</v>
      </c>
      <c r="R10" s="1" t="str">
        <f t="shared" si="1"/>
        <v>90.90</v>
      </c>
      <c r="S10" s="1" t="str">
        <f t="shared" si="1"/>
        <v/>
      </c>
      <c r="T10" s="1" t="str">
        <f t="shared" si="1"/>
        <v>0.00</v>
      </c>
      <c r="U10" s="1" t="str">
        <f t="shared" si="1"/>
        <v>72.10</v>
      </c>
      <c r="V10" s="1" t="str">
        <f t="shared" si="2"/>
        <v>+383.51%</v>
      </c>
      <c r="W10" s="1" t="str">
        <f t="shared" si="2"/>
        <v>0.00</v>
      </c>
      <c r="X10" s="1" t="str">
        <f t="shared" si="2"/>
        <v>+0.00%</v>
      </c>
      <c r="Y10" s="1" t="str">
        <f t="shared" si="2"/>
        <v>11:42am - &lt;b&gt;90.90&lt;/b&gt;</v>
      </c>
      <c r="Z10" s="1" t="str">
        <f t="shared" si="2"/>
        <v>90.90</v>
      </c>
      <c r="AA10" s="1" t="str">
        <f t="shared" si="2"/>
        <v>90.90 - 90.90</v>
      </c>
      <c r="AB10" s="1" t="str">
        <f t="shared" si="2"/>
        <v>86.14</v>
      </c>
      <c r="AC10" s="1" t="str">
        <f t="shared" si="2"/>
        <v>51.84</v>
      </c>
      <c r="AD10" s="1" t="str">
        <f t="shared" si="2"/>
        <v>39.06</v>
      </c>
      <c r="AE10" s="1" t="str">
        <f t="shared" si="2"/>
        <v>+75.35%</v>
      </c>
      <c r="AF10" s="1" t="str">
        <f t="shared" si="3"/>
        <v>4.76</v>
      </c>
      <c r="AG10" s="1" t="str">
        <f t="shared" si="3"/>
        <v>+5.52%</v>
      </c>
      <c r="AH10" s="1" t="str">
        <f t="shared" si="3"/>
        <v>RENAULT</v>
      </c>
      <c r="AI10" s="1" t="str">
        <f t="shared" si="3"/>
        <v/>
      </c>
      <c r="AJ10" s="1" t="str">
        <f t="shared" si="3"/>
        <v>90.90</v>
      </c>
      <c r="AK10" s="1" t="str">
        <f t="shared" si="3"/>
        <v>90.90</v>
      </c>
      <c r="AL10" s="1" t="str">
        <f t="shared" si="3"/>
        <v/>
      </c>
      <c r="AM10" s="1" t="str">
        <f t="shared" si="3"/>
        <v>+27.40%</v>
      </c>
      <c r="AN10" s="1" t="str">
        <f t="shared" si="3"/>
        <v/>
      </c>
      <c r="AO10" s="1" t="str">
        <f t="shared" si="3"/>
        <v/>
      </c>
      <c r="AP10" s="1" t="str">
        <f t="shared" si="4"/>
        <v/>
      </c>
      <c r="AQ10" s="1" t="str">
        <f t="shared" si="4"/>
        <v/>
      </c>
      <c r="AR10" s="1" t="str">
        <f t="shared" si="4"/>
        <v>0.00</v>
      </c>
      <c r="AS10" s="1" t="str">
        <f t="shared" si="4"/>
        <v/>
      </c>
      <c r="AT10" s="1" t="str">
        <f t="shared" si="4"/>
        <v/>
      </c>
      <c r="AU10" s="1" t="str">
        <f t="shared" si="4"/>
        <v>0.00</v>
      </c>
      <c r="AV10" s="1" t="str">
        <f t="shared" si="4"/>
        <v>11:42am</v>
      </c>
      <c r="AW10" s="1" t="str">
        <f t="shared" si="4"/>
        <v/>
      </c>
      <c r="AX10" s="1" t="str">
        <f t="shared" si="4"/>
        <v/>
      </c>
      <c r="AY10" s="1" t="str">
        <f t="shared" si="4"/>
        <v>12</v>
      </c>
      <c r="AZ10" s="1" t="str">
        <f t="shared" si="4"/>
        <v/>
      </c>
      <c r="BA10" s="1" t="str">
        <f t="shared" si="4"/>
        <v>18.80 - 90.90</v>
      </c>
      <c r="BB10" s="1" t="str">
        <f t="shared" si="4"/>
        <v>EBS</v>
      </c>
    </row>
    <row r="11" spans="1:54" x14ac:dyDescent="0.25">
      <c r="A11" t="s">
        <v>63</v>
      </c>
      <c r="B11" s="1" t="str">
        <f t="shared" si="0"/>
        <v>MRK</v>
      </c>
      <c r="C11" s="1" t="str">
        <f t="shared" si="0"/>
        <v>58.89</v>
      </c>
      <c r="D11" s="1" t="str">
        <f t="shared" si="0"/>
        <v>11143400</v>
      </c>
      <c r="E11" s="1" t="str">
        <f t="shared" si="0"/>
        <v>58.13</v>
      </c>
      <c r="F11" s="1" t="str">
        <f t="shared" si="0"/>
        <v>17.14</v>
      </c>
      <c r="G11" s="1" t="str">
        <f t="shared" si="0"/>
        <v>+0.69</v>
      </c>
      <c r="H11" s="1" t="str">
        <f t="shared" si="0"/>
        <v>USD</v>
      </c>
      <c r="I11" s="1" t="str">
        <f t="shared" si="0"/>
        <v>1.80</v>
      </c>
      <c r="J11" s="1" t="str">
        <f t="shared" si="0"/>
        <v>4/15/2015</v>
      </c>
      <c r="K11" s="1" t="str">
        <f t="shared" si="0"/>
        <v>4.07</v>
      </c>
      <c r="L11" s="1" t="str">
        <f t="shared" si="1"/>
        <v>3.38</v>
      </c>
      <c r="M11" s="1" t="str">
        <f t="shared" si="1"/>
        <v>3.80</v>
      </c>
      <c r="N11" s="1" t="str">
        <f t="shared" si="1"/>
        <v>0.80</v>
      </c>
      <c r="O11" s="1" t="str">
        <f t="shared" si="1"/>
        <v>58.07</v>
      </c>
      <c r="P11" s="1" t="str">
        <f t="shared" si="1"/>
        <v>58.94</v>
      </c>
      <c r="Q11" s="1" t="str">
        <f t="shared" si="1"/>
        <v>52.49</v>
      </c>
      <c r="R11" s="1" t="str">
        <f t="shared" si="1"/>
        <v>63.62</v>
      </c>
      <c r="S11" s="1" t="str">
        <f t="shared" si="1"/>
        <v>165.89B</v>
      </c>
      <c r="T11" s="1" t="str">
        <f t="shared" si="1"/>
        <v>14.90B</v>
      </c>
      <c r="U11" s="1" t="str">
        <f t="shared" si="1"/>
        <v>5.96</v>
      </c>
      <c r="V11" s="1" t="str">
        <f t="shared" si="2"/>
        <v>+11.35%</v>
      </c>
      <c r="W11" s="1" t="str">
        <f t="shared" si="2"/>
        <v>-5.17</v>
      </c>
      <c r="X11" s="1" t="str">
        <f t="shared" si="2"/>
        <v>-8.13%</v>
      </c>
      <c r="Y11" s="1" t="str">
        <f t="shared" si="2"/>
        <v>4:02pm - &lt;b&gt;58.45&lt;/b&gt;</v>
      </c>
      <c r="Z11" s="1" t="str">
        <f t="shared" si="2"/>
        <v>58.45</v>
      </c>
      <c r="AA11" s="1" t="str">
        <f t="shared" si="2"/>
        <v>58.07 - 58.94</v>
      </c>
      <c r="AB11" s="1" t="str">
        <f t="shared" si="2"/>
        <v>57.60</v>
      </c>
      <c r="AC11" s="1" t="str">
        <f t="shared" si="2"/>
        <v>58.75</v>
      </c>
      <c r="AD11" s="1" t="str">
        <f t="shared" si="2"/>
        <v>-0.30</v>
      </c>
      <c r="AE11" s="1" t="str">
        <f t="shared" si="2"/>
        <v>-0.51%</v>
      </c>
      <c r="AF11" s="1" t="str">
        <f t="shared" si="3"/>
        <v>0.85</v>
      </c>
      <c r="AG11" s="1" t="str">
        <f t="shared" si="3"/>
        <v>+1.48%</v>
      </c>
      <c r="AH11" s="1" t="str">
        <f t="shared" si="3"/>
        <v>Merck &amp; Company, Inc. Common St</v>
      </c>
      <c r="AI11" s="1" t="str">
        <f t="shared" si="3"/>
        <v/>
      </c>
      <c r="AJ11" s="1" t="str">
        <f t="shared" si="3"/>
        <v>58.07</v>
      </c>
      <c r="AK11" s="1" t="str">
        <f t="shared" si="3"/>
        <v>57.76</v>
      </c>
      <c r="AL11" s="1" t="str">
        <f t="shared" si="3"/>
        <v/>
      </c>
      <c r="AM11" s="1" t="str">
        <f t="shared" si="3"/>
        <v>+1.19%</v>
      </c>
      <c r="AN11" s="1" t="str">
        <f t="shared" si="3"/>
        <v>3.88</v>
      </c>
      <c r="AO11" s="1" t="str">
        <f t="shared" si="3"/>
        <v>3.37</v>
      </c>
      <c r="AP11" s="1" t="str">
        <f t="shared" si="4"/>
        <v>14.36</v>
      </c>
      <c r="AQ11" s="1" t="str">
        <f t="shared" si="4"/>
        <v>4/8/2015</v>
      </c>
      <c r="AR11" s="1" t="str">
        <f t="shared" si="4"/>
        <v>3.34</v>
      </c>
      <c r="AS11" s="1" t="str">
        <f t="shared" si="4"/>
        <v>17.29</v>
      </c>
      <c r="AT11" s="1" t="str">
        <f t="shared" si="4"/>
        <v>15.38</v>
      </c>
      <c r="AU11" s="1" t="str">
        <f t="shared" si="4"/>
        <v>2.60</v>
      </c>
      <c r="AV11" s="1" t="str">
        <f t="shared" si="4"/>
        <v>4:02pm</v>
      </c>
      <c r="AW11" s="1" t="str">
        <f t="shared" si="4"/>
        <v/>
      </c>
      <c r="AX11" s="1" t="str">
        <f t="shared" si="4"/>
        <v>63.83</v>
      </c>
      <c r="AY11" s="1" t="str">
        <f t="shared" si="4"/>
        <v>12097789</v>
      </c>
      <c r="AZ11" s="1" t="str">
        <f t="shared" si="4"/>
        <v/>
      </c>
      <c r="BA11" s="1" t="str">
        <f t="shared" si="4"/>
        <v>52.49 - 63.62</v>
      </c>
      <c r="BB11" s="1" t="str">
        <f t="shared" si="4"/>
        <v>NYQ</v>
      </c>
    </row>
    <row r="12" spans="1:54" x14ac:dyDescent="0.25">
      <c r="A12" t="s">
        <v>64</v>
      </c>
      <c r="B12" s="1" t="str">
        <f t="shared" ref="B12:K21" si="5">ydp($A12,B$1)</f>
        <v>LMT</v>
      </c>
      <c r="C12" s="1" t="str">
        <f t="shared" si="5"/>
        <v>197.88</v>
      </c>
      <c r="D12" s="1" t="str">
        <f t="shared" si="5"/>
        <v>1333130</v>
      </c>
      <c r="E12" s="1" t="str">
        <f t="shared" si="5"/>
        <v>196.53</v>
      </c>
      <c r="F12" s="1" t="str">
        <f t="shared" si="5"/>
        <v>10.83</v>
      </c>
      <c r="G12" s="1" t="str">
        <f t="shared" si="5"/>
        <v>-0.13</v>
      </c>
      <c r="H12" s="1" t="str">
        <f t="shared" si="5"/>
        <v>USD</v>
      </c>
      <c r="I12" s="1" t="str">
        <f t="shared" si="5"/>
        <v>6.00</v>
      </c>
      <c r="J12" s="1" t="str">
        <f t="shared" si="5"/>
        <v>4/15/2015</v>
      </c>
      <c r="K12" s="1" t="str">
        <f t="shared" si="5"/>
        <v>11.21</v>
      </c>
      <c r="L12" s="1" t="str">
        <f t="shared" ref="L12:U21" si="6">ydp($A12,L$1)</f>
        <v>11.14</v>
      </c>
      <c r="M12" s="1" t="str">
        <f t="shared" si="6"/>
        <v>12.41</v>
      </c>
      <c r="N12" s="1" t="str">
        <f t="shared" si="6"/>
        <v>2.76</v>
      </c>
      <c r="O12" s="1" t="str">
        <f t="shared" si="6"/>
        <v>197.04</v>
      </c>
      <c r="P12" s="1" t="str">
        <f t="shared" si="6"/>
        <v>199.46</v>
      </c>
      <c r="Q12" s="1" t="str">
        <f t="shared" si="6"/>
        <v>155.82</v>
      </c>
      <c r="R12" s="1" t="str">
        <f t="shared" si="6"/>
        <v>207.06</v>
      </c>
      <c r="S12" s="1" t="str">
        <f t="shared" si="6"/>
        <v>61.92B</v>
      </c>
      <c r="T12" s="1" t="str">
        <f t="shared" si="6"/>
        <v>6.16B</v>
      </c>
      <c r="U12" s="1" t="str">
        <f t="shared" si="6"/>
        <v>41.39</v>
      </c>
      <c r="V12" s="1" t="str">
        <f t="shared" ref="V12:AE21" si="7">ydp($A12,V$1)</f>
        <v>+26.56%</v>
      </c>
      <c r="W12" s="1" t="str">
        <f t="shared" si="7"/>
        <v>-9.85</v>
      </c>
      <c r="X12" s="1" t="str">
        <f t="shared" si="7"/>
        <v>-4.76%</v>
      </c>
      <c r="Y12" s="1" t="str">
        <f t="shared" si="7"/>
        <v>4:02pm - &lt;b&gt;197.21&lt;/b&gt;</v>
      </c>
      <c r="Z12" s="1" t="str">
        <f t="shared" si="7"/>
        <v>197.21</v>
      </c>
      <c r="AA12" s="1" t="str">
        <f t="shared" si="7"/>
        <v>197.04 - 199.46</v>
      </c>
      <c r="AB12" s="1" t="str">
        <f t="shared" si="7"/>
        <v>200.70</v>
      </c>
      <c r="AC12" s="1" t="str">
        <f t="shared" si="7"/>
        <v>191.77</v>
      </c>
      <c r="AD12" s="1" t="str">
        <f t="shared" si="7"/>
        <v>5.44</v>
      </c>
      <c r="AE12" s="1" t="str">
        <f t="shared" si="7"/>
        <v>+2.84%</v>
      </c>
      <c r="AF12" s="1" t="str">
        <f t="shared" ref="AF12:AO21" si="8">ydp($A12,AF$1)</f>
        <v>-3.49</v>
      </c>
      <c r="AG12" s="1" t="str">
        <f t="shared" si="8"/>
        <v>-1.74%</v>
      </c>
      <c r="AH12" s="1" t="str">
        <f t="shared" si="8"/>
        <v>Lockheed Martin Corporation Com</v>
      </c>
      <c r="AI12" s="1" t="str">
        <f t="shared" si="8"/>
        <v/>
      </c>
      <c r="AJ12" s="1" t="str">
        <f t="shared" si="8"/>
        <v>198.27</v>
      </c>
      <c r="AK12" s="1" t="str">
        <f t="shared" si="8"/>
        <v>197.34</v>
      </c>
      <c r="AL12" s="1" t="str">
        <f t="shared" si="8"/>
        <v/>
      </c>
      <c r="AM12" s="1" t="str">
        <f t="shared" si="8"/>
        <v>-0.07%</v>
      </c>
      <c r="AN12" s="1" t="str">
        <f t="shared" si="8"/>
        <v>1.36</v>
      </c>
      <c r="AO12" s="1" t="str">
        <f t="shared" si="8"/>
        <v>18.22</v>
      </c>
      <c r="AP12" s="1" t="str">
        <f t="shared" ref="AP12:BB21" si="9">ydp($A12,AP$1)</f>
        <v>17.59</v>
      </c>
      <c r="AQ12" s="1" t="str">
        <f t="shared" si="9"/>
        <v>3/27/2015</v>
      </c>
      <c r="AR12" s="1" t="str">
        <f t="shared" si="9"/>
        <v>2.00</v>
      </c>
      <c r="AS12" s="1" t="str">
        <f t="shared" si="9"/>
        <v>17.70</v>
      </c>
      <c r="AT12" s="1" t="str">
        <f t="shared" si="9"/>
        <v>15.89</v>
      </c>
      <c r="AU12" s="1" t="str">
        <f t="shared" si="9"/>
        <v>2.60</v>
      </c>
      <c r="AV12" s="1" t="str">
        <f t="shared" si="9"/>
        <v>4:02pm</v>
      </c>
      <c r="AW12" s="1" t="str">
        <f t="shared" si="9"/>
        <v/>
      </c>
      <c r="AX12" s="1" t="str">
        <f t="shared" si="9"/>
        <v>208.60</v>
      </c>
      <c r="AY12" s="1" t="str">
        <f t="shared" si="9"/>
        <v>1154279</v>
      </c>
      <c r="AZ12" s="1" t="str">
        <f t="shared" si="9"/>
        <v/>
      </c>
      <c r="BA12" s="1" t="str">
        <f t="shared" si="9"/>
        <v>155.82 - 207.06</v>
      </c>
      <c r="BB12" s="1" t="str">
        <f t="shared" si="9"/>
        <v>NYQ</v>
      </c>
    </row>
    <row r="13" spans="1:54" x14ac:dyDescent="0.25">
      <c r="A13" t="s">
        <v>65</v>
      </c>
      <c r="B13" s="1" t="str">
        <f t="shared" si="5"/>
        <v>RDSB.L</v>
      </c>
      <c r="C13" s="1" t="str">
        <f t="shared" si="5"/>
        <v>2122.50</v>
      </c>
      <c r="D13" s="1" t="str">
        <f t="shared" si="5"/>
        <v>5657520</v>
      </c>
      <c r="E13" s="1" t="str">
        <f t="shared" si="5"/>
        <v>2121.50</v>
      </c>
      <c r="F13" s="1" t="str">
        <f t="shared" si="5"/>
        <v>27.32</v>
      </c>
      <c r="G13" s="1" t="str">
        <f t="shared" si="5"/>
        <v>+36.00</v>
      </c>
      <c r="H13" s="1" t="str">
        <f t="shared" si="5"/>
        <v>GBp</v>
      </c>
      <c r="I13" s="1" t="str">
        <f t="shared" si="5"/>
        <v/>
      </c>
      <c r="J13" s="1" t="str">
        <f t="shared" si="5"/>
        <v>4/15/2015</v>
      </c>
      <c r="K13" s="1" t="str">
        <f t="shared" si="5"/>
        <v>2.36</v>
      </c>
      <c r="L13" s="1" t="str">
        <f t="shared" si="6"/>
        <v>2.01</v>
      </c>
      <c r="M13" s="1" t="str">
        <f t="shared" si="6"/>
        <v/>
      </c>
      <c r="N13" s="1" t="str">
        <f t="shared" si="6"/>
        <v>0.00</v>
      </c>
      <c r="O13" s="1" t="str">
        <f t="shared" si="6"/>
        <v>2074.00</v>
      </c>
      <c r="P13" s="1" t="str">
        <f t="shared" si="6"/>
        <v>2134.50</v>
      </c>
      <c r="Q13" s="1" t="str">
        <f t="shared" si="6"/>
        <v>1984.50</v>
      </c>
      <c r="R13" s="1" t="str">
        <f t="shared" si="6"/>
        <v>2990.50</v>
      </c>
      <c r="S13" s="1" t="str">
        <f t="shared" si="6"/>
        <v>133.58B</v>
      </c>
      <c r="T13" s="1" t="str">
        <f t="shared" si="6"/>
        <v>44.38B</v>
      </c>
      <c r="U13" s="1" t="str">
        <f t="shared" si="6"/>
        <v>137.50</v>
      </c>
      <c r="V13" s="1" t="str">
        <f t="shared" si="7"/>
        <v>+6.93%</v>
      </c>
      <c r="W13" s="1" t="str">
        <f t="shared" si="7"/>
        <v>-868.50</v>
      </c>
      <c r="X13" s="1" t="str">
        <f t="shared" si="7"/>
        <v>-29.04%</v>
      </c>
      <c r="Y13" s="1" t="str">
        <f t="shared" si="7"/>
        <v>4:39pm - &lt;b&gt;2122.00&lt;/b&gt;</v>
      </c>
      <c r="Z13" s="1" t="str">
        <f t="shared" si="7"/>
        <v>2122.00</v>
      </c>
      <c r="AA13" s="1" t="str">
        <f t="shared" si="7"/>
        <v>2074.00 - 2134.50</v>
      </c>
      <c r="AB13" s="1" t="str">
        <f t="shared" si="7"/>
        <v>2124.38</v>
      </c>
      <c r="AC13" s="1" t="str">
        <f t="shared" si="7"/>
        <v>2214.67</v>
      </c>
      <c r="AD13" s="1" t="str">
        <f t="shared" si="7"/>
        <v>-92.67</v>
      </c>
      <c r="AE13" s="1" t="str">
        <f t="shared" si="7"/>
        <v>-4.18%</v>
      </c>
      <c r="AF13" s="1" t="str">
        <f t="shared" si="8"/>
        <v>-2.38</v>
      </c>
      <c r="AG13" s="1" t="str">
        <f t="shared" si="8"/>
        <v>-0.11%</v>
      </c>
      <c r="AH13" s="1" t="str">
        <f t="shared" si="8"/>
        <v>ROYAL DUTCH SHELL-B</v>
      </c>
      <c r="AI13" s="1" t="str">
        <f t="shared" si="8"/>
        <v/>
      </c>
      <c r="AJ13" s="1" t="str">
        <f t="shared" si="8"/>
        <v>2089.50</v>
      </c>
      <c r="AK13" s="1" t="str">
        <f t="shared" si="8"/>
        <v>2086.00</v>
      </c>
      <c r="AL13" s="1" t="str">
        <f t="shared" si="8"/>
        <v/>
      </c>
      <c r="AM13" s="1" t="str">
        <f t="shared" si="8"/>
        <v>+1.73%</v>
      </c>
      <c r="AN13" s="1" t="str">
        <f t="shared" si="8"/>
        <v>31.18</v>
      </c>
      <c r="AO13" s="1" t="str">
        <f t="shared" si="8"/>
        <v>76.36</v>
      </c>
      <c r="AP13" s="1" t="str">
        <f t="shared" si="9"/>
        <v>900.30</v>
      </c>
      <c r="AQ13" s="1" t="str">
        <f t="shared" si="9"/>
        <v/>
      </c>
      <c r="AR13" s="1" t="str">
        <f t="shared" si="9"/>
        <v>12.72</v>
      </c>
      <c r="AS13" s="1" t="str">
        <f t="shared" si="9"/>
        <v>1050.50</v>
      </c>
      <c r="AT13" s="1" t="str">
        <f t="shared" si="9"/>
        <v>791.79</v>
      </c>
      <c r="AU13" s="1" t="str">
        <f t="shared" si="9"/>
        <v>0.00</v>
      </c>
      <c r="AV13" s="1" t="str">
        <f t="shared" si="9"/>
        <v>4:39pm</v>
      </c>
      <c r="AW13" s="1" t="str">
        <f t="shared" si="9"/>
        <v/>
      </c>
      <c r="AX13" s="1" t="str">
        <f t="shared" si="9"/>
        <v/>
      </c>
      <c r="AY13" s="1" t="str">
        <f t="shared" si="9"/>
        <v>8246749</v>
      </c>
      <c r="AZ13" s="1" t="str">
        <f t="shared" si="9"/>
        <v/>
      </c>
      <c r="BA13" s="1" t="str">
        <f t="shared" si="9"/>
        <v>1984.50 - 2990.50</v>
      </c>
      <c r="BB13" s="1" t="str">
        <f t="shared" si="9"/>
        <v>LSE</v>
      </c>
    </row>
    <row r="14" spans="1:54" x14ac:dyDescent="0.25">
      <c r="A14" t="s">
        <v>66</v>
      </c>
      <c r="B14" s="1" t="str">
        <f t="shared" si="5"/>
        <v>UNH</v>
      </c>
      <c r="C14" s="1" t="str">
        <f t="shared" si="5"/>
        <v>119.00</v>
      </c>
      <c r="D14" s="1" t="str">
        <f t="shared" si="5"/>
        <v>4130540</v>
      </c>
      <c r="E14" s="1" t="str">
        <f t="shared" si="5"/>
        <v>118.75</v>
      </c>
      <c r="F14" s="1" t="str">
        <f t="shared" si="5"/>
        <v>34.02</v>
      </c>
      <c r="G14" s="1" t="str">
        <f t="shared" si="5"/>
        <v>-2.60</v>
      </c>
      <c r="H14" s="1" t="str">
        <f t="shared" si="5"/>
        <v>USD</v>
      </c>
      <c r="I14" s="1" t="str">
        <f t="shared" si="5"/>
        <v>1.50</v>
      </c>
      <c r="J14" s="1" t="str">
        <f t="shared" si="5"/>
        <v>4/15/2015</v>
      </c>
      <c r="K14" s="1" t="str">
        <f t="shared" si="5"/>
        <v>5.70</v>
      </c>
      <c r="L14" s="1" t="str">
        <f t="shared" si="6"/>
        <v>6.20</v>
      </c>
      <c r="M14" s="1" t="str">
        <f t="shared" si="6"/>
        <v>7.01</v>
      </c>
      <c r="N14" s="1" t="str">
        <f t="shared" si="6"/>
        <v>1.51</v>
      </c>
      <c r="O14" s="1" t="str">
        <f t="shared" si="6"/>
        <v>116.55</v>
      </c>
      <c r="P14" s="1" t="str">
        <f t="shared" si="6"/>
        <v>120.74</v>
      </c>
      <c r="Q14" s="1" t="str">
        <f t="shared" si="6"/>
        <v>73.61</v>
      </c>
      <c r="R14" s="1" t="str">
        <f t="shared" si="6"/>
        <v>123.76</v>
      </c>
      <c r="S14" s="1" t="str">
        <f t="shared" si="6"/>
        <v>111.89B</v>
      </c>
      <c r="T14" s="1" t="str">
        <f t="shared" si="6"/>
        <v>11.33B</v>
      </c>
      <c r="U14" s="1" t="str">
        <f t="shared" si="6"/>
        <v>43.71</v>
      </c>
      <c r="V14" s="1" t="str">
        <f t="shared" si="7"/>
        <v>+59.38%</v>
      </c>
      <c r="W14" s="1" t="str">
        <f t="shared" si="7"/>
        <v>-6.44</v>
      </c>
      <c r="X14" s="1" t="str">
        <f t="shared" si="7"/>
        <v>-5.20%</v>
      </c>
      <c r="Y14" s="1" t="str">
        <f t="shared" si="7"/>
        <v>4:00pm - &lt;b&gt;117.32&lt;/b&gt;</v>
      </c>
      <c r="Z14" s="1" t="str">
        <f t="shared" si="7"/>
        <v>117.32</v>
      </c>
      <c r="AA14" s="1" t="str">
        <f t="shared" si="7"/>
        <v>116.55 - 120.74</v>
      </c>
      <c r="AB14" s="1" t="str">
        <f t="shared" si="7"/>
        <v>116.68</v>
      </c>
      <c r="AC14" s="1" t="str">
        <f t="shared" si="7"/>
        <v>103.51</v>
      </c>
      <c r="AD14" s="1" t="str">
        <f t="shared" si="7"/>
        <v>13.81</v>
      </c>
      <c r="AE14" s="1" t="str">
        <f t="shared" si="7"/>
        <v>+13.34%</v>
      </c>
      <c r="AF14" s="1" t="str">
        <f t="shared" si="8"/>
        <v>0.64</v>
      </c>
      <c r="AG14" s="1" t="str">
        <f t="shared" si="8"/>
        <v>+0.55%</v>
      </c>
      <c r="AH14" s="1" t="str">
        <f t="shared" si="8"/>
        <v>UnitedHealth Group Incorporated</v>
      </c>
      <c r="AI14" s="1" t="str">
        <f t="shared" si="8"/>
        <v/>
      </c>
      <c r="AJ14" s="1" t="str">
        <f t="shared" si="8"/>
        <v>120.37</v>
      </c>
      <c r="AK14" s="1" t="str">
        <f t="shared" si="8"/>
        <v>119.92</v>
      </c>
      <c r="AL14" s="1" t="str">
        <f t="shared" si="8"/>
        <v/>
      </c>
      <c r="AM14" s="1" t="str">
        <f t="shared" si="8"/>
        <v>-2.17%</v>
      </c>
      <c r="AN14" s="1" t="str">
        <f t="shared" si="8"/>
        <v>0.88</v>
      </c>
      <c r="AO14" s="1" t="str">
        <f t="shared" si="8"/>
        <v>3.53</v>
      </c>
      <c r="AP14" s="1" t="str">
        <f t="shared" si="9"/>
        <v>20.58</v>
      </c>
      <c r="AQ14" s="1" t="str">
        <f t="shared" si="9"/>
        <v>3/24/2015</v>
      </c>
      <c r="AR14" s="1" t="str">
        <f t="shared" si="9"/>
        <v>1.96</v>
      </c>
      <c r="AS14" s="1" t="str">
        <f t="shared" si="9"/>
        <v>18.92</v>
      </c>
      <c r="AT14" s="1" t="str">
        <f t="shared" si="9"/>
        <v>16.74</v>
      </c>
      <c r="AU14" s="1" t="str">
        <f t="shared" si="9"/>
        <v>2.50</v>
      </c>
      <c r="AV14" s="1" t="str">
        <f t="shared" si="9"/>
        <v>4:00pm</v>
      </c>
      <c r="AW14" s="1" t="str">
        <f t="shared" si="9"/>
        <v/>
      </c>
      <c r="AX14" s="1" t="str">
        <f t="shared" si="9"/>
        <v>133.70</v>
      </c>
      <c r="AY14" s="1" t="str">
        <f t="shared" si="9"/>
        <v>7331407</v>
      </c>
      <c r="AZ14" s="1" t="str">
        <f t="shared" si="9"/>
        <v/>
      </c>
      <c r="BA14" s="1" t="str">
        <f t="shared" si="9"/>
        <v>73.61 - 123.76</v>
      </c>
      <c r="BB14" s="1" t="str">
        <f t="shared" si="9"/>
        <v>NYQ</v>
      </c>
    </row>
    <row r="15" spans="1:54" x14ac:dyDescent="0.25">
      <c r="A15" t="s">
        <v>67</v>
      </c>
      <c r="B15" s="1" t="str">
        <f t="shared" si="5"/>
        <v>STAN.L</v>
      </c>
      <c r="C15" s="1" t="str">
        <f t="shared" si="5"/>
        <v>1080.50</v>
      </c>
      <c r="D15" s="1" t="str">
        <f t="shared" si="5"/>
        <v>9120150</v>
      </c>
      <c r="E15" s="1" t="str">
        <f t="shared" si="5"/>
        <v>1079.50</v>
      </c>
      <c r="F15" s="1" t="str">
        <f t="shared" si="5"/>
        <v>18.82</v>
      </c>
      <c r="G15" s="1" t="str">
        <f t="shared" si="5"/>
        <v>-3.50</v>
      </c>
      <c r="H15" s="1" t="str">
        <f t="shared" si="5"/>
        <v>GBp</v>
      </c>
      <c r="I15" s="1" t="str">
        <f t="shared" si="5"/>
        <v/>
      </c>
      <c r="J15" s="1" t="str">
        <f t="shared" si="5"/>
        <v>4/15/2015</v>
      </c>
      <c r="K15" s="1" t="str">
        <f t="shared" si="5"/>
        <v>1.02</v>
      </c>
      <c r="L15" s="1" t="str">
        <f t="shared" si="6"/>
        <v>1.49</v>
      </c>
      <c r="M15" s="1" t="str">
        <f t="shared" si="6"/>
        <v/>
      </c>
      <c r="N15" s="1" t="str">
        <f t="shared" si="6"/>
        <v>0.00</v>
      </c>
      <c r="O15" s="1" t="str">
        <f t="shared" si="6"/>
        <v>1073.50</v>
      </c>
      <c r="P15" s="1" t="str">
        <f t="shared" si="6"/>
        <v>1087.00</v>
      </c>
      <c r="Q15" s="1" t="str">
        <f t="shared" si="6"/>
        <v>867.50</v>
      </c>
      <c r="R15" s="1" t="str">
        <f t="shared" si="6"/>
        <v>1355.50</v>
      </c>
      <c r="S15" s="1" t="str">
        <f t="shared" si="6"/>
        <v>26.65B</v>
      </c>
      <c r="T15" s="1" t="str">
        <f t="shared" si="6"/>
        <v>0.00</v>
      </c>
      <c r="U15" s="1" t="str">
        <f t="shared" si="6"/>
        <v>212.50</v>
      </c>
      <c r="V15" s="1" t="str">
        <f t="shared" si="7"/>
        <v>+24.50%</v>
      </c>
      <c r="W15" s="1" t="str">
        <f t="shared" si="7"/>
        <v>-275.50</v>
      </c>
      <c r="X15" s="1" t="str">
        <f t="shared" si="7"/>
        <v>-20.32%</v>
      </c>
      <c r="Y15" s="1" t="str">
        <f t="shared" si="7"/>
        <v>4:35pm - &lt;b&gt;1080.00&lt;/b&gt;</v>
      </c>
      <c r="Z15" s="1" t="str">
        <f t="shared" si="7"/>
        <v>1080.00</v>
      </c>
      <c r="AA15" s="1" t="str">
        <f t="shared" si="7"/>
        <v>1073.50 - 1087.00</v>
      </c>
      <c r="AB15" s="1" t="str">
        <f t="shared" si="7"/>
        <v>1046.69</v>
      </c>
      <c r="AC15" s="1" t="str">
        <f t="shared" si="7"/>
        <v>990.39</v>
      </c>
      <c r="AD15" s="1" t="str">
        <f t="shared" si="7"/>
        <v>89.61</v>
      </c>
      <c r="AE15" s="1" t="str">
        <f t="shared" si="7"/>
        <v>+9.05%</v>
      </c>
      <c r="AF15" s="1" t="str">
        <f t="shared" si="8"/>
        <v>33.31</v>
      </c>
      <c r="AG15" s="1" t="str">
        <f t="shared" si="8"/>
        <v>+3.18%</v>
      </c>
      <c r="AH15" s="1" t="str">
        <f t="shared" si="8"/>
        <v>STANDARD CHARTERED</v>
      </c>
      <c r="AI15" s="1" t="str">
        <f t="shared" si="8"/>
        <v/>
      </c>
      <c r="AJ15" s="1" t="str">
        <f t="shared" si="8"/>
        <v>1087.00</v>
      </c>
      <c r="AK15" s="1" t="str">
        <f t="shared" si="8"/>
        <v>1083.50</v>
      </c>
      <c r="AL15" s="1" t="str">
        <f t="shared" si="8"/>
        <v/>
      </c>
      <c r="AM15" s="1" t="str">
        <f t="shared" si="8"/>
        <v>-0.32%</v>
      </c>
      <c r="AN15" s="1" t="str">
        <f t="shared" si="8"/>
        <v>167.85</v>
      </c>
      <c r="AO15" s="1" t="str">
        <f t="shared" si="8"/>
        <v>57.58</v>
      </c>
      <c r="AP15" s="1" t="str">
        <f t="shared" si="9"/>
        <v>1062.99</v>
      </c>
      <c r="AQ15" s="1" t="str">
        <f t="shared" si="9"/>
        <v/>
      </c>
      <c r="AR15" s="1" t="str">
        <f t="shared" si="9"/>
        <v>2.48</v>
      </c>
      <c r="AS15" s="1" t="str">
        <f t="shared" si="9"/>
        <v>724.83</v>
      </c>
      <c r="AT15" s="1" t="str">
        <f t="shared" si="9"/>
        <v>670.81</v>
      </c>
      <c r="AU15" s="1" t="str">
        <f t="shared" si="9"/>
        <v>0.00</v>
      </c>
      <c r="AV15" s="1" t="str">
        <f t="shared" si="9"/>
        <v>4:35pm</v>
      </c>
      <c r="AW15" s="1" t="str">
        <f t="shared" si="9"/>
        <v/>
      </c>
      <c r="AX15" s="1" t="str">
        <f t="shared" si="9"/>
        <v/>
      </c>
      <c r="AY15" s="1" t="str">
        <f t="shared" si="9"/>
        <v>6299577</v>
      </c>
      <c r="AZ15" s="1" t="str">
        <f t="shared" si="9"/>
        <v/>
      </c>
      <c r="BA15" s="1" t="str">
        <f t="shared" si="9"/>
        <v>867.50 - 1355.50</v>
      </c>
      <c r="BB15" s="1" t="str">
        <f t="shared" si="9"/>
        <v>LSE</v>
      </c>
    </row>
    <row r="16" spans="1:54" x14ac:dyDescent="0.25">
      <c r="A16" t="s">
        <v>68</v>
      </c>
      <c r="B16" s="1" t="str">
        <f t="shared" si="5"/>
        <v>LNKD</v>
      </c>
      <c r="C16" s="1" t="str">
        <f t="shared" si="5"/>
        <v>257.90</v>
      </c>
      <c r="D16" s="1" t="str">
        <f t="shared" si="5"/>
        <v>1455750</v>
      </c>
      <c r="E16" s="1" t="str">
        <f t="shared" si="5"/>
        <v>257.80</v>
      </c>
      <c r="F16" s="1" t="str">
        <f t="shared" si="5"/>
        <v>26.59</v>
      </c>
      <c r="G16" s="1" t="str">
        <f t="shared" si="5"/>
        <v>-0.31</v>
      </c>
      <c r="H16" s="1" t="str">
        <f t="shared" si="5"/>
        <v>USD</v>
      </c>
      <c r="I16" s="1" t="str">
        <f t="shared" si="5"/>
        <v/>
      </c>
      <c r="J16" s="1" t="str">
        <f t="shared" si="5"/>
        <v>4/15/2015</v>
      </c>
      <c r="K16" s="1" t="str">
        <f t="shared" si="5"/>
        <v>-0.13</v>
      </c>
      <c r="L16" s="1" t="str">
        <f t="shared" si="6"/>
        <v>3.03</v>
      </c>
      <c r="M16" s="1" t="str">
        <f t="shared" si="6"/>
        <v>4.27</v>
      </c>
      <c r="N16" s="1" t="str">
        <f t="shared" si="6"/>
        <v>0.74</v>
      </c>
      <c r="O16" s="1" t="str">
        <f t="shared" si="6"/>
        <v>256.47</v>
      </c>
      <c r="P16" s="1" t="str">
        <f t="shared" si="6"/>
        <v>259.99</v>
      </c>
      <c r="Q16" s="1" t="str">
        <f t="shared" si="6"/>
        <v>136.02</v>
      </c>
      <c r="R16" s="1" t="str">
        <f t="shared" si="6"/>
        <v>276.18</v>
      </c>
      <c r="S16" s="1" t="str">
        <f t="shared" si="6"/>
        <v>32.18B</v>
      </c>
      <c r="T16" s="1" t="str">
        <f t="shared" si="6"/>
        <v>232.38M</v>
      </c>
      <c r="U16" s="1" t="str">
        <f t="shared" si="6"/>
        <v>121.17</v>
      </c>
      <c r="V16" s="1" t="str">
        <f t="shared" si="7"/>
        <v>+89.08%</v>
      </c>
      <c r="W16" s="1" t="str">
        <f t="shared" si="7"/>
        <v>-18.99</v>
      </c>
      <c r="X16" s="1" t="str">
        <f t="shared" si="7"/>
        <v>-6.88%</v>
      </c>
      <c r="Y16" s="1" t="str">
        <f t="shared" si="7"/>
        <v>4:03pm - &lt;b&gt;257.19&lt;/b&gt;</v>
      </c>
      <c r="Z16" s="1" t="str">
        <f t="shared" si="7"/>
        <v>257.19</v>
      </c>
      <c r="AA16" s="1" t="str">
        <f t="shared" si="7"/>
        <v>256.47 - 259.99</v>
      </c>
      <c r="AB16" s="1" t="str">
        <f t="shared" si="7"/>
        <v>260.61</v>
      </c>
      <c r="AC16" s="1" t="str">
        <f t="shared" si="7"/>
        <v>233.28</v>
      </c>
      <c r="AD16" s="1" t="str">
        <f t="shared" si="7"/>
        <v>23.91</v>
      </c>
      <c r="AE16" s="1" t="str">
        <f t="shared" si="7"/>
        <v>+10.25%</v>
      </c>
      <c r="AF16" s="1" t="str">
        <f t="shared" si="8"/>
        <v>-3.42</v>
      </c>
      <c r="AG16" s="1" t="str">
        <f t="shared" si="8"/>
        <v>-1.31%</v>
      </c>
      <c r="AH16" s="1" t="str">
        <f t="shared" si="8"/>
        <v>LinkedIn Corporation Class A Co</v>
      </c>
      <c r="AI16" s="1" t="str">
        <f t="shared" si="8"/>
        <v/>
      </c>
      <c r="AJ16" s="1" t="str">
        <f t="shared" si="8"/>
        <v>258.98</v>
      </c>
      <c r="AK16" s="1" t="str">
        <f t="shared" si="8"/>
        <v>257.50</v>
      </c>
      <c r="AL16" s="1" t="str">
        <f t="shared" si="8"/>
        <v/>
      </c>
      <c r="AM16" s="1" t="str">
        <f t="shared" si="8"/>
        <v>-0.12%</v>
      </c>
      <c r="AN16" s="1" t="str">
        <f t="shared" si="8"/>
        <v>14.52</v>
      </c>
      <c r="AO16" s="1" t="str">
        <f t="shared" si="8"/>
        <v>9.68</v>
      </c>
      <c r="AP16" s="1" t="str">
        <f t="shared" si="9"/>
        <v/>
      </c>
      <c r="AQ16" s="1" t="str">
        <f t="shared" si="9"/>
        <v/>
      </c>
      <c r="AR16" s="1" t="str">
        <f t="shared" si="9"/>
        <v>2.14</v>
      </c>
      <c r="AS16" s="1" t="str">
        <f t="shared" si="9"/>
        <v>84.88</v>
      </c>
      <c r="AT16" s="1" t="str">
        <f t="shared" si="9"/>
        <v>60.23</v>
      </c>
      <c r="AU16" s="1" t="str">
        <f t="shared" si="9"/>
        <v>4.30</v>
      </c>
      <c r="AV16" s="1" t="str">
        <f t="shared" si="9"/>
        <v>4:03pm</v>
      </c>
      <c r="AW16" s="1" t="str">
        <f t="shared" si="9"/>
        <v/>
      </c>
      <c r="AX16" s="1" t="str">
        <f t="shared" si="9"/>
        <v>290.59</v>
      </c>
      <c r="AY16" s="1" t="str">
        <f t="shared" si="9"/>
        <v>903637</v>
      </c>
      <c r="AZ16" s="1" t="str">
        <f t="shared" si="9"/>
        <v/>
      </c>
      <c r="BA16" s="1" t="str">
        <f t="shared" si="9"/>
        <v>136.02 - 276.18</v>
      </c>
      <c r="BB16" s="1" t="str">
        <f t="shared" si="9"/>
        <v>NYQ</v>
      </c>
    </row>
    <row r="17" spans="1:54" x14ac:dyDescent="0.25">
      <c r="A17" t="s">
        <v>69</v>
      </c>
      <c r="B17" s="1" t="str">
        <f t="shared" si="5"/>
        <v>FTR</v>
      </c>
      <c r="C17" s="1" t="str">
        <f t="shared" si="5"/>
        <v>7.33</v>
      </c>
      <c r="D17" s="1" t="str">
        <f t="shared" si="5"/>
        <v>12030000</v>
      </c>
      <c r="E17" s="1" t="str">
        <f t="shared" si="5"/>
        <v>7.23</v>
      </c>
      <c r="F17" s="1" t="str">
        <f t="shared" si="5"/>
        <v>3.65</v>
      </c>
      <c r="G17" s="1" t="str">
        <f t="shared" si="5"/>
        <v>-0.06</v>
      </c>
      <c r="H17" s="1" t="str">
        <f t="shared" si="5"/>
        <v>USD</v>
      </c>
      <c r="I17" s="1" t="str">
        <f t="shared" si="5"/>
        <v>0.42</v>
      </c>
      <c r="J17" s="1" t="str">
        <f t="shared" si="5"/>
        <v>4/15/2015</v>
      </c>
      <c r="K17" s="1" t="str">
        <f t="shared" si="5"/>
        <v>0.13</v>
      </c>
      <c r="L17" s="1" t="str">
        <f t="shared" si="6"/>
        <v>0.18</v>
      </c>
      <c r="M17" s="1" t="str">
        <f t="shared" si="6"/>
        <v>0.20</v>
      </c>
      <c r="N17" s="1" t="str">
        <f t="shared" si="6"/>
        <v>0.05</v>
      </c>
      <c r="O17" s="1" t="str">
        <f t="shared" si="6"/>
        <v>7.22</v>
      </c>
      <c r="P17" s="1" t="str">
        <f t="shared" si="6"/>
        <v>7.35</v>
      </c>
      <c r="Q17" s="1" t="str">
        <f t="shared" si="6"/>
        <v>5.44</v>
      </c>
      <c r="R17" s="1" t="str">
        <f t="shared" si="6"/>
        <v>8.46</v>
      </c>
      <c r="S17" s="1" t="str">
        <f t="shared" si="6"/>
        <v>7.27B</v>
      </c>
      <c r="T17" s="1" t="str">
        <f t="shared" si="6"/>
        <v>2.10B</v>
      </c>
      <c r="U17" s="1" t="str">
        <f t="shared" si="6"/>
        <v>1.81</v>
      </c>
      <c r="V17" s="1" t="str">
        <f t="shared" si="7"/>
        <v>+33.27%</v>
      </c>
      <c r="W17" s="1" t="str">
        <f t="shared" si="7"/>
        <v>-1.21</v>
      </c>
      <c r="X17" s="1" t="str">
        <f t="shared" si="7"/>
        <v>-14.30%</v>
      </c>
      <c r="Y17" s="1" t="str">
        <f t="shared" si="7"/>
        <v>4:00pm - &lt;b&gt;7.25&lt;/b&gt;</v>
      </c>
      <c r="Z17" s="1" t="str">
        <f t="shared" si="7"/>
        <v>7.25</v>
      </c>
      <c r="AA17" s="1" t="str">
        <f t="shared" si="7"/>
        <v>7.22 - 7.35</v>
      </c>
      <c r="AB17" s="1" t="str">
        <f t="shared" si="7"/>
        <v>7.48</v>
      </c>
      <c r="AC17" s="1" t="str">
        <f t="shared" si="7"/>
        <v>6.96</v>
      </c>
      <c r="AD17" s="1" t="str">
        <f t="shared" si="7"/>
        <v>0.29</v>
      </c>
      <c r="AE17" s="1" t="str">
        <f t="shared" si="7"/>
        <v>+4.10%</v>
      </c>
      <c r="AF17" s="1" t="str">
        <f t="shared" si="8"/>
        <v>-0.23</v>
      </c>
      <c r="AG17" s="1" t="str">
        <f t="shared" si="8"/>
        <v>-3.08%</v>
      </c>
      <c r="AH17" s="1" t="str">
        <f t="shared" si="8"/>
        <v>Frontier Communications Corpora</v>
      </c>
      <c r="AI17" s="1" t="str">
        <f t="shared" si="8"/>
        <v/>
      </c>
      <c r="AJ17" s="1" t="str">
        <f t="shared" si="8"/>
        <v>7.32</v>
      </c>
      <c r="AK17" s="1" t="str">
        <f t="shared" si="8"/>
        <v>7.31</v>
      </c>
      <c r="AL17" s="1" t="str">
        <f t="shared" si="8"/>
        <v/>
      </c>
      <c r="AM17" s="1" t="str">
        <f t="shared" si="8"/>
        <v>-0.82%</v>
      </c>
      <c r="AN17" s="1" t="str">
        <f t="shared" si="8"/>
        <v>1.54</v>
      </c>
      <c r="AO17" s="1" t="str">
        <f t="shared" si="8"/>
        <v>2.00</v>
      </c>
      <c r="AP17" s="1" t="str">
        <f t="shared" si="9"/>
        <v>55.77</v>
      </c>
      <c r="AQ17" s="1" t="str">
        <f t="shared" si="9"/>
        <v>3/31/2015</v>
      </c>
      <c r="AR17" s="1" t="str">
        <f t="shared" si="9"/>
        <v>-1.33</v>
      </c>
      <c r="AS17" s="1" t="str">
        <f t="shared" si="9"/>
        <v>40.28</v>
      </c>
      <c r="AT17" s="1" t="str">
        <f t="shared" si="9"/>
        <v>36.25</v>
      </c>
      <c r="AU17" s="1" t="str">
        <f t="shared" si="9"/>
        <v>11.50</v>
      </c>
      <c r="AV17" s="1" t="str">
        <f t="shared" si="9"/>
        <v>4:00pm</v>
      </c>
      <c r="AW17" s="1" t="str">
        <f t="shared" si="9"/>
        <v/>
      </c>
      <c r="AX17" s="1" t="str">
        <f t="shared" si="9"/>
        <v>7.96</v>
      </c>
      <c r="AY17" s="1" t="str">
        <f t="shared" si="9"/>
        <v>8044600</v>
      </c>
      <c r="AZ17" s="1" t="str">
        <f t="shared" si="9"/>
        <v/>
      </c>
      <c r="BA17" s="1" t="str">
        <f t="shared" si="9"/>
        <v>5.44 - 8.46</v>
      </c>
      <c r="BB17" s="1" t="str">
        <f t="shared" si="9"/>
        <v>NMS</v>
      </c>
    </row>
    <row r="18" spans="1:54" x14ac:dyDescent="0.25">
      <c r="A18" t="s">
        <v>70</v>
      </c>
      <c r="B18" s="1" t="str">
        <f t="shared" si="5"/>
        <v>KO</v>
      </c>
      <c r="C18" s="1" t="str">
        <f t="shared" si="5"/>
        <v>40.39</v>
      </c>
      <c r="D18" s="1" t="str">
        <f t="shared" si="5"/>
        <v>15184800</v>
      </c>
      <c r="E18" s="1" t="str">
        <f t="shared" si="5"/>
        <v>40.37</v>
      </c>
      <c r="F18" s="1" t="str">
        <f t="shared" si="5"/>
        <v>6.95</v>
      </c>
      <c r="G18" s="1" t="str">
        <f t="shared" si="5"/>
        <v>-0.11</v>
      </c>
      <c r="H18" s="1" t="str">
        <f t="shared" si="5"/>
        <v>USD</v>
      </c>
      <c r="I18" s="1" t="str">
        <f t="shared" si="5"/>
        <v>1.32</v>
      </c>
      <c r="J18" s="1" t="str">
        <f t="shared" si="5"/>
        <v>4/15/2015</v>
      </c>
      <c r="K18" s="1" t="str">
        <f t="shared" si="5"/>
        <v>1.60</v>
      </c>
      <c r="L18" s="1" t="str">
        <f t="shared" si="6"/>
        <v>1.98</v>
      </c>
      <c r="M18" s="1" t="str">
        <f t="shared" si="6"/>
        <v>2.11</v>
      </c>
      <c r="N18" s="1" t="str">
        <f t="shared" si="6"/>
        <v>0.60</v>
      </c>
      <c r="O18" s="1" t="str">
        <f t="shared" si="6"/>
        <v>40.32</v>
      </c>
      <c r="P18" s="1" t="str">
        <f t="shared" si="6"/>
        <v>40.81</v>
      </c>
      <c r="Q18" s="1" t="str">
        <f t="shared" si="6"/>
        <v>39.06</v>
      </c>
      <c r="R18" s="1" t="str">
        <f t="shared" si="6"/>
        <v>45.00</v>
      </c>
      <c r="S18" s="1" t="str">
        <f t="shared" si="6"/>
        <v>176.40B</v>
      </c>
      <c r="T18" s="1" t="str">
        <f t="shared" si="6"/>
        <v>12.84B</v>
      </c>
      <c r="U18" s="1" t="str">
        <f t="shared" si="6"/>
        <v>1.34</v>
      </c>
      <c r="V18" s="1" t="str">
        <f t="shared" si="7"/>
        <v>+3.43%</v>
      </c>
      <c r="W18" s="1" t="str">
        <f t="shared" si="7"/>
        <v>-4.60</v>
      </c>
      <c r="X18" s="1" t="str">
        <f t="shared" si="7"/>
        <v>-10.22%</v>
      </c>
      <c r="Y18" s="1" t="str">
        <f t="shared" si="7"/>
        <v>4:00pm - &lt;b&gt;40.40&lt;/b&gt;</v>
      </c>
      <c r="Z18" s="1" t="str">
        <f t="shared" si="7"/>
        <v>40.40</v>
      </c>
      <c r="AA18" s="1" t="str">
        <f t="shared" si="7"/>
        <v>40.32 - 40.81</v>
      </c>
      <c r="AB18" s="1" t="str">
        <f t="shared" si="7"/>
        <v>41.08</v>
      </c>
      <c r="AC18" s="1" t="str">
        <f t="shared" si="7"/>
        <v>42.18</v>
      </c>
      <c r="AD18" s="1" t="str">
        <f t="shared" si="7"/>
        <v>-1.78</v>
      </c>
      <c r="AE18" s="1" t="str">
        <f t="shared" si="7"/>
        <v>-4.23%</v>
      </c>
      <c r="AF18" s="1" t="str">
        <f t="shared" si="8"/>
        <v>-0.68</v>
      </c>
      <c r="AG18" s="1" t="str">
        <f t="shared" si="8"/>
        <v>-1.66%</v>
      </c>
      <c r="AH18" s="1" t="str">
        <f t="shared" si="8"/>
        <v>Coca-Cola Company (The) Common</v>
      </c>
      <c r="AI18" s="1" t="str">
        <f t="shared" si="8"/>
        <v/>
      </c>
      <c r="AJ18" s="1" t="str">
        <f t="shared" si="8"/>
        <v>40.58</v>
      </c>
      <c r="AK18" s="1" t="str">
        <f t="shared" si="8"/>
        <v>40.51</v>
      </c>
      <c r="AL18" s="1" t="str">
        <f t="shared" si="8"/>
        <v/>
      </c>
      <c r="AM18" s="1" t="str">
        <f t="shared" si="8"/>
        <v>-0.27%</v>
      </c>
      <c r="AN18" s="1" t="str">
        <f t="shared" si="8"/>
        <v>3.85</v>
      </c>
      <c r="AO18" s="1" t="str">
        <f t="shared" si="8"/>
        <v>5.83</v>
      </c>
      <c r="AP18" s="1" t="str">
        <f t="shared" si="9"/>
        <v>25.25</v>
      </c>
      <c r="AQ18" s="1" t="str">
        <f t="shared" si="9"/>
        <v>4/1/2015</v>
      </c>
      <c r="AR18" s="1" t="str">
        <f t="shared" si="9"/>
        <v>4.20</v>
      </c>
      <c r="AS18" s="1" t="str">
        <f t="shared" si="9"/>
        <v>20.40</v>
      </c>
      <c r="AT18" s="1" t="str">
        <f t="shared" si="9"/>
        <v>19.15</v>
      </c>
      <c r="AU18" s="1" t="str">
        <f t="shared" si="9"/>
        <v>1.90</v>
      </c>
      <c r="AV18" s="1" t="str">
        <f t="shared" si="9"/>
        <v>4:00pm</v>
      </c>
      <c r="AW18" s="1" t="str">
        <f t="shared" si="9"/>
        <v/>
      </c>
      <c r="AX18" s="1" t="str">
        <f t="shared" si="9"/>
        <v>44.46</v>
      </c>
      <c r="AY18" s="1" t="str">
        <f t="shared" si="9"/>
        <v>11171067</v>
      </c>
      <c r="AZ18" s="1" t="str">
        <f t="shared" si="9"/>
        <v/>
      </c>
      <c r="BA18" s="1" t="str">
        <f t="shared" si="9"/>
        <v>39.06 - 45.00</v>
      </c>
      <c r="BB18" s="1" t="str">
        <f t="shared" si="9"/>
        <v>NYQ</v>
      </c>
    </row>
    <row r="19" spans="1:54" x14ac:dyDescent="0.25">
      <c r="A19" t="s">
        <v>71</v>
      </c>
      <c r="B19" s="1" t="str">
        <f t="shared" si="5"/>
        <v>CCE</v>
      </c>
      <c r="C19" s="1" t="str">
        <f t="shared" si="5"/>
        <v>46.61</v>
      </c>
      <c r="D19" s="1" t="str">
        <f t="shared" si="5"/>
        <v>2756070</v>
      </c>
      <c r="E19" s="1" t="str">
        <f t="shared" si="5"/>
        <v>43.29</v>
      </c>
      <c r="F19" s="1" t="str">
        <f t="shared" si="5"/>
        <v>5.99</v>
      </c>
      <c r="G19" s="1" t="str">
        <f t="shared" si="5"/>
        <v>+0.52</v>
      </c>
      <c r="H19" s="1" t="str">
        <f t="shared" si="5"/>
        <v>USD</v>
      </c>
      <c r="I19" s="1" t="str">
        <f t="shared" si="5"/>
        <v>1.12</v>
      </c>
      <c r="J19" s="1" t="str">
        <f t="shared" si="5"/>
        <v>4/15/2015</v>
      </c>
      <c r="K19" s="1" t="str">
        <f t="shared" si="5"/>
        <v>2.63</v>
      </c>
      <c r="L19" s="1" t="str">
        <f t="shared" si="6"/>
        <v>2.60</v>
      </c>
      <c r="M19" s="1" t="str">
        <f t="shared" si="6"/>
        <v>2.84</v>
      </c>
      <c r="N19" s="1" t="str">
        <f t="shared" si="6"/>
        <v>0.77</v>
      </c>
      <c r="O19" s="1" t="str">
        <f t="shared" si="6"/>
        <v>44.72</v>
      </c>
      <c r="P19" s="1" t="str">
        <f t="shared" si="6"/>
        <v>45.23</v>
      </c>
      <c r="Q19" s="1" t="str">
        <f t="shared" si="6"/>
        <v>39.05</v>
      </c>
      <c r="R19" s="1" t="str">
        <f t="shared" si="6"/>
        <v>50.00</v>
      </c>
      <c r="S19" s="1" t="str">
        <f t="shared" si="6"/>
        <v>10.66B</v>
      </c>
      <c r="T19" s="1" t="str">
        <f t="shared" si="6"/>
        <v>1.40B</v>
      </c>
      <c r="U19" s="1" t="str">
        <f t="shared" si="6"/>
        <v>6.16</v>
      </c>
      <c r="V19" s="1" t="str">
        <f t="shared" si="7"/>
        <v>+15.77%</v>
      </c>
      <c r="W19" s="1" t="str">
        <f t="shared" si="7"/>
        <v>-4.79</v>
      </c>
      <c r="X19" s="1" t="str">
        <f t="shared" si="7"/>
        <v>-9.58%</v>
      </c>
      <c r="Y19" s="1" t="str">
        <f t="shared" si="7"/>
        <v>4:03pm - &lt;b&gt;45.21&lt;/b&gt;</v>
      </c>
      <c r="Z19" s="1" t="str">
        <f t="shared" si="7"/>
        <v>45.21</v>
      </c>
      <c r="AA19" s="1" t="str">
        <f t="shared" si="7"/>
        <v>44.72 - 45.23</v>
      </c>
      <c r="AB19" s="1" t="str">
        <f t="shared" si="7"/>
        <v>44.32</v>
      </c>
      <c r="AC19" s="1" t="str">
        <f t="shared" si="7"/>
        <v>43.54</v>
      </c>
      <c r="AD19" s="1" t="str">
        <f t="shared" si="7"/>
        <v>1.67</v>
      </c>
      <c r="AE19" s="1" t="str">
        <f t="shared" si="7"/>
        <v>+3.84%</v>
      </c>
      <c r="AF19" s="1" t="str">
        <f t="shared" si="8"/>
        <v>0.89</v>
      </c>
      <c r="AG19" s="1" t="str">
        <f t="shared" si="8"/>
        <v>+2.01%</v>
      </c>
      <c r="AH19" s="1" t="str">
        <f t="shared" si="8"/>
        <v>Coca-Cola Enterprises, Inc. Com</v>
      </c>
      <c r="AI19" s="1" t="str">
        <f t="shared" si="8"/>
        <v/>
      </c>
      <c r="AJ19" s="1" t="str">
        <f t="shared" si="8"/>
        <v>44.90</v>
      </c>
      <c r="AK19" s="1" t="str">
        <f t="shared" si="8"/>
        <v>44.69</v>
      </c>
      <c r="AL19" s="1" t="str">
        <f t="shared" si="8"/>
        <v/>
      </c>
      <c r="AM19" s="1" t="str">
        <f t="shared" si="8"/>
        <v>+1.16%</v>
      </c>
      <c r="AN19" s="1" t="str">
        <f t="shared" si="8"/>
        <v>1.28</v>
      </c>
      <c r="AO19" s="1" t="str">
        <f t="shared" si="8"/>
        <v>7.46</v>
      </c>
      <c r="AP19" s="1" t="str">
        <f t="shared" si="9"/>
        <v>17.19</v>
      </c>
      <c r="AQ19" s="1" t="str">
        <f t="shared" si="9"/>
        <v>3/19/2015</v>
      </c>
      <c r="AR19" s="1" t="str">
        <f t="shared" si="9"/>
        <v>3.65</v>
      </c>
      <c r="AS19" s="1" t="str">
        <f t="shared" si="9"/>
        <v>17.46</v>
      </c>
      <c r="AT19" s="1" t="str">
        <f t="shared" si="9"/>
        <v>15.92</v>
      </c>
      <c r="AU19" s="1" t="str">
        <f t="shared" si="9"/>
        <v>1.40</v>
      </c>
      <c r="AV19" s="1" t="str">
        <f t="shared" si="9"/>
        <v>4:03pm</v>
      </c>
      <c r="AW19" s="1" t="str">
        <f t="shared" si="9"/>
        <v/>
      </c>
      <c r="AX19" s="1" t="str">
        <f t="shared" si="9"/>
        <v>46.13</v>
      </c>
      <c r="AY19" s="1" t="str">
        <f t="shared" si="9"/>
        <v>1901990</v>
      </c>
      <c r="AZ19" s="1" t="str">
        <f t="shared" si="9"/>
        <v/>
      </c>
      <c r="BA19" s="1" t="str">
        <f t="shared" si="9"/>
        <v>39.05 - 50.00</v>
      </c>
      <c r="BB19" s="1" t="str">
        <f t="shared" si="9"/>
        <v>NYQ</v>
      </c>
    </row>
    <row r="20" spans="1:54" x14ac:dyDescent="0.25">
      <c r="A20" t="s">
        <v>72</v>
      </c>
      <c r="B20" s="1" t="str">
        <f t="shared" si="5"/>
        <v>KOF</v>
      </c>
      <c r="C20" s="1" t="str">
        <f t="shared" si="5"/>
        <v>84.48</v>
      </c>
      <c r="D20" s="1" t="str">
        <f t="shared" si="5"/>
        <v>83233</v>
      </c>
      <c r="E20" s="1" t="str">
        <f t="shared" si="5"/>
        <v>80.41</v>
      </c>
      <c r="F20" s="1" t="str">
        <f t="shared" si="5"/>
        <v>33.81</v>
      </c>
      <c r="G20" s="1" t="str">
        <f t="shared" si="5"/>
        <v>-0.04</v>
      </c>
      <c r="H20" s="1" t="str">
        <f t="shared" si="5"/>
        <v>USD</v>
      </c>
      <c r="I20" s="1" t="str">
        <f t="shared" si="5"/>
        <v>2.13</v>
      </c>
      <c r="J20" s="1" t="str">
        <f t="shared" si="5"/>
        <v>4/15/2015</v>
      </c>
      <c r="K20" s="1" t="str">
        <f t="shared" si="5"/>
        <v>3.41</v>
      </c>
      <c r="L20" s="1" t="str">
        <f t="shared" si="6"/>
        <v>4.05</v>
      </c>
      <c r="M20" s="1" t="str">
        <f t="shared" si="6"/>
        <v>4.64</v>
      </c>
      <c r="N20" s="1" t="str">
        <f t="shared" si="6"/>
        <v>0.99</v>
      </c>
      <c r="O20" s="1" t="str">
        <f t="shared" si="6"/>
        <v>79.83</v>
      </c>
      <c r="P20" s="1" t="str">
        <f t="shared" si="6"/>
        <v>80.94</v>
      </c>
      <c r="Q20" s="1" t="str">
        <f t="shared" si="6"/>
        <v>77.75</v>
      </c>
      <c r="R20" s="1" t="str">
        <f t="shared" si="6"/>
        <v>122.31</v>
      </c>
      <c r="S20" s="1" t="str">
        <f t="shared" si="6"/>
        <v>16.67B</v>
      </c>
      <c r="T20" s="1" t="str">
        <f t="shared" si="6"/>
        <v>1.87B</v>
      </c>
      <c r="U20" s="1" t="str">
        <f t="shared" si="6"/>
        <v>2.65</v>
      </c>
      <c r="V20" s="1" t="str">
        <f t="shared" si="7"/>
        <v>+3.41%</v>
      </c>
      <c r="W20" s="1" t="str">
        <f t="shared" si="7"/>
        <v>-41.91</v>
      </c>
      <c r="X20" s="1" t="str">
        <f t="shared" si="7"/>
        <v>-34.27%</v>
      </c>
      <c r="Y20" s="1" t="str">
        <f t="shared" si="7"/>
        <v>4:02pm - &lt;b&gt;80.40&lt;/b&gt;</v>
      </c>
      <c r="Z20" s="1" t="str">
        <f t="shared" si="7"/>
        <v>80.40</v>
      </c>
      <c r="AA20" s="1" t="str">
        <f t="shared" si="7"/>
        <v>79.83 - 80.94</v>
      </c>
      <c r="AB20" s="1" t="str">
        <f t="shared" si="7"/>
        <v>81.68</v>
      </c>
      <c r="AC20" s="1" t="str">
        <f t="shared" si="7"/>
        <v>90.22</v>
      </c>
      <c r="AD20" s="1" t="str">
        <f t="shared" si="7"/>
        <v>-9.82</v>
      </c>
      <c r="AE20" s="1" t="str">
        <f t="shared" si="7"/>
        <v>-10.88%</v>
      </c>
      <c r="AF20" s="1" t="str">
        <f t="shared" si="8"/>
        <v>-1.28</v>
      </c>
      <c r="AG20" s="1" t="str">
        <f t="shared" si="8"/>
        <v>-1.57%</v>
      </c>
      <c r="AH20" s="1" t="str">
        <f t="shared" si="8"/>
        <v>Coca Cola Femsa S.A.B. de C.V.</v>
      </c>
      <c r="AI20" s="1" t="str">
        <f t="shared" si="8"/>
        <v/>
      </c>
      <c r="AJ20" s="1" t="str">
        <f t="shared" si="8"/>
        <v>80.39</v>
      </c>
      <c r="AK20" s="1" t="str">
        <f t="shared" si="8"/>
        <v>80.44</v>
      </c>
      <c r="AL20" s="1" t="str">
        <f t="shared" si="8"/>
        <v/>
      </c>
      <c r="AM20" s="1" t="str">
        <f t="shared" si="8"/>
        <v>-0.05%</v>
      </c>
      <c r="AN20" s="1" t="str">
        <f t="shared" si="8"/>
        <v>1.71</v>
      </c>
      <c r="AO20" s="1" t="str">
        <f t="shared" si="8"/>
        <v>2.38</v>
      </c>
      <c r="AP20" s="1" t="str">
        <f t="shared" si="9"/>
        <v>23.82</v>
      </c>
      <c r="AQ20" s="1" t="str">
        <f t="shared" si="9"/>
        <v>11/17/2014</v>
      </c>
      <c r="AR20" s="1" t="str">
        <f t="shared" si="9"/>
        <v>2.19</v>
      </c>
      <c r="AS20" s="1" t="str">
        <f t="shared" si="9"/>
        <v>19.85</v>
      </c>
      <c r="AT20" s="1" t="str">
        <f t="shared" si="9"/>
        <v>17.33</v>
      </c>
      <c r="AU20" s="1" t="str">
        <f t="shared" si="9"/>
        <v>5.40</v>
      </c>
      <c r="AV20" s="1" t="str">
        <f t="shared" si="9"/>
        <v>4:02pm</v>
      </c>
      <c r="AW20" s="1" t="str">
        <f t="shared" si="9"/>
        <v/>
      </c>
      <c r="AX20" s="1" t="str">
        <f t="shared" si="9"/>
        <v>101.92</v>
      </c>
      <c r="AY20" s="1" t="str">
        <f t="shared" si="9"/>
        <v>88872</v>
      </c>
      <c r="AZ20" s="1" t="str">
        <f t="shared" si="9"/>
        <v/>
      </c>
      <c r="BA20" s="1" t="str">
        <f t="shared" si="9"/>
        <v>77.75 - 122.31</v>
      </c>
      <c r="BB20" s="1" t="str">
        <f t="shared" si="9"/>
        <v>NYQ</v>
      </c>
    </row>
    <row r="21" spans="1:54" x14ac:dyDescent="0.25">
      <c r="A21" t="s">
        <v>73</v>
      </c>
      <c r="B21" s="1" t="str">
        <f t="shared" si="5"/>
        <v>DBK.DE</v>
      </c>
      <c r="C21" s="1" t="str">
        <f t="shared" si="5"/>
        <v>32.98</v>
      </c>
      <c r="D21" s="1" t="str">
        <f t="shared" si="5"/>
        <v>8224510</v>
      </c>
      <c r="E21" s="1" t="str">
        <f t="shared" si="5"/>
        <v>32.97</v>
      </c>
      <c r="F21" s="1" t="str">
        <f t="shared" si="5"/>
        <v>56.44</v>
      </c>
      <c r="G21" s="1" t="str">
        <f t="shared" si="5"/>
        <v>+0.24</v>
      </c>
      <c r="H21" s="1" t="str">
        <f t="shared" si="5"/>
        <v>EUR</v>
      </c>
      <c r="I21" s="1" t="str">
        <f t="shared" si="5"/>
        <v/>
      </c>
      <c r="J21" s="1" t="str">
        <f t="shared" si="5"/>
        <v>4/15/2015</v>
      </c>
      <c r="K21" s="1" t="str">
        <f t="shared" si="5"/>
        <v>1.44</v>
      </c>
      <c r="L21" s="1" t="str">
        <f t="shared" si="6"/>
        <v>4.32</v>
      </c>
      <c r="M21" s="1" t="str">
        <f t="shared" si="6"/>
        <v/>
      </c>
      <c r="N21" s="1" t="str">
        <f t="shared" si="6"/>
        <v>0.00</v>
      </c>
      <c r="O21" s="1" t="str">
        <f t="shared" si="6"/>
        <v>32.65</v>
      </c>
      <c r="P21" s="1" t="str">
        <f t="shared" si="6"/>
        <v>33.19</v>
      </c>
      <c r="Q21" s="1" t="str">
        <f t="shared" si="6"/>
        <v>22.66</v>
      </c>
      <c r="R21" s="1" t="str">
        <f t="shared" si="6"/>
        <v>33.41</v>
      </c>
      <c r="S21" s="1" t="str">
        <f t="shared" si="6"/>
        <v>45.45B</v>
      </c>
      <c r="T21" s="1" t="str">
        <f t="shared" si="6"/>
        <v>0.00</v>
      </c>
      <c r="U21" s="1" t="str">
        <f t="shared" si="6"/>
        <v>10.30</v>
      </c>
      <c r="V21" s="1" t="str">
        <f t="shared" si="7"/>
        <v>+45.45%</v>
      </c>
      <c r="W21" s="1" t="str">
        <f t="shared" si="7"/>
        <v>-0.45</v>
      </c>
      <c r="X21" s="1" t="str">
        <f t="shared" si="7"/>
        <v>-1.35%</v>
      </c>
      <c r="Y21" s="1" t="str">
        <f t="shared" si="7"/>
        <v>5:35pm - &lt;b&gt;32.96&lt;/b&gt;</v>
      </c>
      <c r="Z21" s="1" t="str">
        <f t="shared" si="7"/>
        <v>32.96</v>
      </c>
      <c r="AA21" s="1" t="str">
        <f t="shared" si="7"/>
        <v>32.65 - 33.19</v>
      </c>
      <c r="AB21" s="1" t="str">
        <f t="shared" si="7"/>
        <v>31.14</v>
      </c>
      <c r="AC21" s="1" t="str">
        <f t="shared" si="7"/>
        <v>27.01</v>
      </c>
      <c r="AD21" s="1" t="str">
        <f t="shared" si="7"/>
        <v>5.95</v>
      </c>
      <c r="AE21" s="1" t="str">
        <f t="shared" si="7"/>
        <v>+22.02%</v>
      </c>
      <c r="AF21" s="1" t="str">
        <f t="shared" si="8"/>
        <v>1.82</v>
      </c>
      <c r="AG21" s="1" t="str">
        <f t="shared" si="8"/>
        <v>+5.85%</v>
      </c>
      <c r="AH21" s="1" t="str">
        <f t="shared" si="8"/>
        <v>DEUTSCHE BANK N</v>
      </c>
      <c r="AI21" s="1" t="str">
        <f t="shared" si="8"/>
        <v/>
      </c>
      <c r="AJ21" s="1" t="str">
        <f t="shared" si="8"/>
        <v>32.83</v>
      </c>
      <c r="AK21" s="1" t="str">
        <f t="shared" si="8"/>
        <v>32.72</v>
      </c>
      <c r="AL21" s="1" t="str">
        <f t="shared" si="8"/>
        <v/>
      </c>
      <c r="AM21" s="1" t="str">
        <f t="shared" si="8"/>
        <v>+0.72%</v>
      </c>
      <c r="AN21" s="1" t="str">
        <f t="shared" si="8"/>
        <v>1.37</v>
      </c>
      <c r="AO21" s="1" t="str">
        <f t="shared" si="8"/>
        <v>0.58</v>
      </c>
      <c r="AP21" s="1" t="str">
        <f t="shared" si="9"/>
        <v>23.59</v>
      </c>
      <c r="AQ21" s="1" t="str">
        <f t="shared" si="9"/>
        <v/>
      </c>
      <c r="AR21" s="1" t="str">
        <f t="shared" si="9"/>
        <v>0.00</v>
      </c>
      <c r="AS21" s="1" t="str">
        <f t="shared" si="9"/>
        <v/>
      </c>
      <c r="AT21" s="1" t="str">
        <f t="shared" si="9"/>
        <v/>
      </c>
      <c r="AU21" s="1" t="str">
        <f t="shared" si="9"/>
        <v>0.00</v>
      </c>
      <c r="AV21" s="1" t="str">
        <f t="shared" si="9"/>
        <v>5:35pm</v>
      </c>
      <c r="AW21" s="1" t="str">
        <f t="shared" si="9"/>
        <v/>
      </c>
      <c r="AX21" s="1" t="str">
        <f t="shared" si="9"/>
        <v/>
      </c>
      <c r="AY21" s="1" t="str">
        <f t="shared" si="9"/>
        <v>5124263</v>
      </c>
      <c r="AZ21" s="1" t="str">
        <f t="shared" si="9"/>
        <v/>
      </c>
      <c r="BA21" s="1" t="str">
        <f t="shared" si="9"/>
        <v>22.66 - 33.41</v>
      </c>
      <c r="BB21" s="1" t="str">
        <f t="shared" si="9"/>
        <v>GER</v>
      </c>
    </row>
    <row r="22" spans="1:54" x14ac:dyDescent="0.25">
      <c r="A22" t="s">
        <v>74</v>
      </c>
      <c r="B22" s="1" t="str">
        <f t="shared" ref="B22:K32" si="10">ydp($A22,B$1)</f>
        <v>DD</v>
      </c>
      <c r="C22" s="1" t="str">
        <f t="shared" si="10"/>
        <v>72.59</v>
      </c>
      <c r="D22" s="1" t="str">
        <f t="shared" si="10"/>
        <v>4899550</v>
      </c>
      <c r="E22" s="1" t="str">
        <f t="shared" si="10"/>
        <v>71.67</v>
      </c>
      <c r="F22" s="1" t="str">
        <f t="shared" si="10"/>
        <v>14.46</v>
      </c>
      <c r="G22" s="1" t="str">
        <f t="shared" si="10"/>
        <v>-0.16</v>
      </c>
      <c r="H22" s="1" t="str">
        <f t="shared" si="10"/>
        <v>USD</v>
      </c>
      <c r="I22" s="1" t="str">
        <f t="shared" si="10"/>
        <v>1.88</v>
      </c>
      <c r="J22" s="1" t="str">
        <f t="shared" si="10"/>
        <v>4/15/2015</v>
      </c>
      <c r="K22" s="1" t="str">
        <f t="shared" si="10"/>
        <v>3.92</v>
      </c>
      <c r="L22" s="1" t="str">
        <f t="shared" ref="L22:U32" si="11">ydp($A22,L$1)</f>
        <v>4.07</v>
      </c>
      <c r="M22" s="1" t="str">
        <f t="shared" si="11"/>
        <v>4.53</v>
      </c>
      <c r="N22" s="1" t="str">
        <f t="shared" si="11"/>
        <v>1.36</v>
      </c>
      <c r="O22" s="1" t="str">
        <f t="shared" si="11"/>
        <v>72.01</v>
      </c>
      <c r="P22" s="1" t="str">
        <f t="shared" si="11"/>
        <v>72.75</v>
      </c>
      <c r="Q22" s="1" t="str">
        <f t="shared" si="11"/>
        <v>63.70</v>
      </c>
      <c r="R22" s="1" t="str">
        <f t="shared" si="11"/>
        <v>80.65</v>
      </c>
      <c r="S22" s="1" t="str">
        <f t="shared" si="11"/>
        <v>65.28B</v>
      </c>
      <c r="T22" s="1" t="str">
        <f t="shared" si="11"/>
        <v>6.31B</v>
      </c>
      <c r="U22" s="1" t="str">
        <f t="shared" si="11"/>
        <v>8.40</v>
      </c>
      <c r="V22" s="1" t="str">
        <f t="shared" ref="V22:AE32" si="12">ydp($A22,V$1)</f>
        <v>+13.19%</v>
      </c>
      <c r="W22" s="1" t="str">
        <f t="shared" si="12"/>
        <v>-8.55</v>
      </c>
      <c r="X22" s="1" t="str">
        <f t="shared" si="12"/>
        <v>-10.60%</v>
      </c>
      <c r="Y22" s="1" t="str">
        <f t="shared" si="12"/>
        <v>4:00pm - &lt;b&gt;72.10&lt;/b&gt;</v>
      </c>
      <c r="Z22" s="1" t="str">
        <f t="shared" si="12"/>
        <v>72.10</v>
      </c>
      <c r="AA22" s="1" t="str">
        <f t="shared" si="12"/>
        <v>72.01 - 72.75</v>
      </c>
      <c r="AB22" s="1" t="str">
        <f t="shared" si="12"/>
        <v>75.16</v>
      </c>
      <c r="AC22" s="1" t="str">
        <f t="shared" si="12"/>
        <v>72.62</v>
      </c>
      <c r="AD22" s="1" t="str">
        <f t="shared" si="12"/>
        <v>-0.52</v>
      </c>
      <c r="AE22" s="1" t="str">
        <f t="shared" si="12"/>
        <v>-0.72%</v>
      </c>
      <c r="AF22" s="1" t="str">
        <f t="shared" ref="AF22:AO32" si="13">ydp($A22,AF$1)</f>
        <v>-3.06</v>
      </c>
      <c r="AG22" s="1" t="str">
        <f t="shared" si="13"/>
        <v>-4.07%</v>
      </c>
      <c r="AH22" s="1" t="str">
        <f t="shared" si="13"/>
        <v>E.I. du Pont de Nemours and Com</v>
      </c>
      <c r="AI22" s="1" t="str">
        <f t="shared" si="13"/>
        <v/>
      </c>
      <c r="AJ22" s="1" t="str">
        <f t="shared" si="13"/>
        <v>72.28</v>
      </c>
      <c r="AK22" s="1" t="str">
        <f t="shared" si="13"/>
        <v>72.26</v>
      </c>
      <c r="AL22" s="1" t="str">
        <f t="shared" si="13"/>
        <v/>
      </c>
      <c r="AM22" s="1" t="str">
        <f t="shared" si="13"/>
        <v>-0.22%</v>
      </c>
      <c r="AN22" s="1" t="str">
        <f t="shared" si="13"/>
        <v>1.87</v>
      </c>
      <c r="AO22" s="1" t="str">
        <f t="shared" si="13"/>
        <v>5.00</v>
      </c>
      <c r="AP22" s="1" t="str">
        <f t="shared" ref="AP22:BB32" si="14">ydp($A22,AP$1)</f>
        <v>18.41</v>
      </c>
      <c r="AQ22" s="1" t="str">
        <f t="shared" si="14"/>
        <v>3/13/2015</v>
      </c>
      <c r="AR22" s="1" t="str">
        <f t="shared" si="14"/>
        <v>2.14</v>
      </c>
      <c r="AS22" s="1" t="str">
        <f t="shared" si="14"/>
        <v>17.76</v>
      </c>
      <c r="AT22" s="1" t="str">
        <f t="shared" si="14"/>
        <v>15.92</v>
      </c>
      <c r="AU22" s="1" t="str">
        <f t="shared" si="14"/>
        <v>2.10</v>
      </c>
      <c r="AV22" s="1" t="str">
        <f t="shared" si="14"/>
        <v>4:00pm</v>
      </c>
      <c r="AW22" s="1" t="str">
        <f t="shared" si="14"/>
        <v/>
      </c>
      <c r="AX22" s="1" t="str">
        <f t="shared" si="14"/>
        <v>75.00</v>
      </c>
      <c r="AY22" s="1" t="str">
        <f t="shared" si="14"/>
        <v>3380928</v>
      </c>
      <c r="AZ22" s="1" t="str">
        <f t="shared" si="14"/>
        <v/>
      </c>
      <c r="BA22" s="1" t="str">
        <f t="shared" si="14"/>
        <v>63.70 - 80.65</v>
      </c>
      <c r="BB22" s="1" t="str">
        <f t="shared" si="14"/>
        <v>NYQ</v>
      </c>
    </row>
    <row r="23" spans="1:54" x14ac:dyDescent="0.25">
      <c r="A23" t="s">
        <v>75</v>
      </c>
      <c r="B23" s="1" t="str">
        <f t="shared" si="10"/>
        <v>DDS</v>
      </c>
      <c r="C23" s="1" t="str">
        <f t="shared" si="10"/>
        <v>138.21</v>
      </c>
      <c r="D23" s="1" t="str">
        <f t="shared" si="10"/>
        <v>408605</v>
      </c>
      <c r="E23" s="1" t="str">
        <f t="shared" si="10"/>
        <v>138.19</v>
      </c>
      <c r="F23" s="1" t="str">
        <f t="shared" si="10"/>
        <v>49.02</v>
      </c>
      <c r="G23" s="1" t="str">
        <f t="shared" si="10"/>
        <v>-1.47</v>
      </c>
      <c r="H23" s="1" t="str">
        <f t="shared" si="10"/>
        <v>USD</v>
      </c>
      <c r="I23" s="1" t="str">
        <f t="shared" si="10"/>
        <v>0.24</v>
      </c>
      <c r="J23" s="1" t="str">
        <f t="shared" si="10"/>
        <v>4/15/2015</v>
      </c>
      <c r="K23" s="1" t="str">
        <f t="shared" si="10"/>
        <v>7.79</v>
      </c>
      <c r="L23" s="1" t="str">
        <f t="shared" si="11"/>
        <v>8.79</v>
      </c>
      <c r="M23" s="1" t="str">
        <f t="shared" si="11"/>
        <v>9.59</v>
      </c>
      <c r="N23" s="1" t="str">
        <f t="shared" si="11"/>
        <v>0.89</v>
      </c>
      <c r="O23" s="1" t="str">
        <f t="shared" si="11"/>
        <v>138.14</v>
      </c>
      <c r="P23" s="1" t="str">
        <f t="shared" si="11"/>
        <v>141.16</v>
      </c>
      <c r="Q23" s="1" t="str">
        <f t="shared" si="11"/>
        <v>89.50</v>
      </c>
      <c r="R23" s="1" t="str">
        <f t="shared" si="11"/>
        <v>144.21</v>
      </c>
      <c r="S23" s="1" t="str">
        <f t="shared" si="11"/>
        <v>5.69B</v>
      </c>
      <c r="T23" s="1" t="str">
        <f t="shared" si="11"/>
        <v>816.90M</v>
      </c>
      <c r="U23" s="1" t="str">
        <f t="shared" si="11"/>
        <v>48.73</v>
      </c>
      <c r="V23" s="1" t="str">
        <f t="shared" si="12"/>
        <v>+54.45%</v>
      </c>
      <c r="W23" s="1" t="str">
        <f t="shared" si="12"/>
        <v>-5.98</v>
      </c>
      <c r="X23" s="1" t="str">
        <f t="shared" si="12"/>
        <v>-4.15%</v>
      </c>
      <c r="Y23" s="1" t="str">
        <f t="shared" si="12"/>
        <v>4:01pm - &lt;b&gt;138.23&lt;/b&gt;</v>
      </c>
      <c r="Z23" s="1" t="str">
        <f t="shared" si="12"/>
        <v>138.23</v>
      </c>
      <c r="AA23" s="1" t="str">
        <f t="shared" si="12"/>
        <v>138.14 - 141.16</v>
      </c>
      <c r="AB23" s="1" t="str">
        <f t="shared" si="12"/>
        <v>134.46</v>
      </c>
      <c r="AC23" s="1" t="str">
        <f t="shared" si="12"/>
        <v>119.25</v>
      </c>
      <c r="AD23" s="1" t="str">
        <f t="shared" si="12"/>
        <v>18.98</v>
      </c>
      <c r="AE23" s="1" t="str">
        <f t="shared" si="12"/>
        <v>+15.91%</v>
      </c>
      <c r="AF23" s="1" t="str">
        <f t="shared" si="13"/>
        <v>3.77</v>
      </c>
      <c r="AG23" s="1" t="str">
        <f t="shared" si="13"/>
        <v>+2.81%</v>
      </c>
      <c r="AH23" s="1" t="str">
        <f t="shared" si="13"/>
        <v>Dillard's, Inc. Common Stock</v>
      </c>
      <c r="AI23" s="1" t="str">
        <f t="shared" si="13"/>
        <v/>
      </c>
      <c r="AJ23" s="1" t="str">
        <f t="shared" si="13"/>
        <v>140.18</v>
      </c>
      <c r="AK23" s="1" t="str">
        <f t="shared" si="13"/>
        <v>139.70</v>
      </c>
      <c r="AL23" s="1" t="str">
        <f t="shared" si="13"/>
        <v/>
      </c>
      <c r="AM23" s="1" t="str">
        <f t="shared" si="13"/>
        <v>-1.05%</v>
      </c>
      <c r="AN23" s="1" t="str">
        <f t="shared" si="13"/>
        <v>0.85</v>
      </c>
      <c r="AO23" s="1" t="str">
        <f t="shared" si="13"/>
        <v>2.85</v>
      </c>
      <c r="AP23" s="1" t="str">
        <f t="shared" si="14"/>
        <v>17.75</v>
      </c>
      <c r="AQ23" s="1" t="str">
        <f t="shared" si="14"/>
        <v>5/4/2015</v>
      </c>
      <c r="AR23" s="1" t="str">
        <f t="shared" si="14"/>
        <v>1.42</v>
      </c>
      <c r="AS23" s="1" t="str">
        <f t="shared" si="14"/>
        <v>15.73</v>
      </c>
      <c r="AT23" s="1" t="str">
        <f t="shared" si="14"/>
        <v>14.41</v>
      </c>
      <c r="AU23" s="1" t="str">
        <f t="shared" si="14"/>
        <v>2.20</v>
      </c>
      <c r="AV23" s="1" t="str">
        <f t="shared" si="14"/>
        <v>4:01pm</v>
      </c>
      <c r="AW23" s="1" t="str">
        <f t="shared" si="14"/>
        <v/>
      </c>
      <c r="AX23" s="1" t="str">
        <f t="shared" si="14"/>
        <v>129.00</v>
      </c>
      <c r="AY23" s="1" t="str">
        <f t="shared" si="14"/>
        <v>300094</v>
      </c>
      <c r="AZ23" s="1" t="str">
        <f t="shared" si="14"/>
        <v/>
      </c>
      <c r="BA23" s="1" t="str">
        <f t="shared" si="14"/>
        <v>89.50 - 144.21</v>
      </c>
      <c r="BB23" s="1" t="str">
        <f t="shared" si="14"/>
        <v>NYQ</v>
      </c>
    </row>
    <row r="24" spans="1:54" x14ac:dyDescent="0.25">
      <c r="A24" t="s">
        <v>76</v>
      </c>
      <c r="B24" s="1" t="str">
        <f t="shared" si="10"/>
        <v>DDF</v>
      </c>
      <c r="C24" s="1" t="str">
        <f t="shared" si="10"/>
        <v>10.2200</v>
      </c>
      <c r="D24" s="1" t="str">
        <f t="shared" si="10"/>
        <v>19862</v>
      </c>
      <c r="E24" s="1" t="str">
        <f t="shared" si="10"/>
        <v>9.3400</v>
      </c>
      <c r="F24" s="1" t="str">
        <f t="shared" si="10"/>
        <v>0.0000</v>
      </c>
      <c r="G24" s="1" t="str">
        <f t="shared" si="10"/>
        <v>+0.0600</v>
      </c>
      <c r="H24" s="1" t="str">
        <f t="shared" si="10"/>
        <v>USD</v>
      </c>
      <c r="I24" s="1" t="str">
        <f t="shared" si="10"/>
        <v>0.6300</v>
      </c>
      <c r="J24" s="1" t="str">
        <f t="shared" si="10"/>
        <v>4/15/2015</v>
      </c>
      <c r="K24" s="1" t="str">
        <f t="shared" si="10"/>
        <v>1.7640</v>
      </c>
      <c r="L24" s="1" t="str">
        <f t="shared" si="11"/>
        <v/>
      </c>
      <c r="M24" s="1" t="str">
        <f t="shared" si="11"/>
        <v/>
      </c>
      <c r="N24" s="1" t="str">
        <f t="shared" si="11"/>
        <v>0.0000</v>
      </c>
      <c r="O24" s="1" t="str">
        <f t="shared" si="11"/>
        <v>10.1500</v>
      </c>
      <c r="P24" s="1" t="str">
        <f t="shared" si="11"/>
        <v>10.2200</v>
      </c>
      <c r="Q24" s="1" t="str">
        <f t="shared" si="11"/>
        <v>8.9800</v>
      </c>
      <c r="R24" s="1" t="str">
        <f t="shared" si="11"/>
        <v>10.7300</v>
      </c>
      <c r="S24" s="1" t="str">
        <f t="shared" si="11"/>
        <v/>
      </c>
      <c r="T24" s="1" t="str">
        <f t="shared" si="11"/>
        <v>0.00</v>
      </c>
      <c r="U24" s="1" t="str">
        <f t="shared" si="11"/>
        <v>1.2301</v>
      </c>
      <c r="V24" s="1" t="str">
        <f t="shared" si="12"/>
        <v>+13.6982%</v>
      </c>
      <c r="W24" s="1" t="str">
        <f t="shared" si="12"/>
        <v>-0.5199</v>
      </c>
      <c r="X24" s="1" t="str">
        <f t="shared" si="12"/>
        <v>-4.8453%</v>
      </c>
      <c r="Y24" s="1" t="str">
        <f t="shared" si="12"/>
        <v>4:00pm - &lt;b&gt;10.2101&lt;/b&gt;</v>
      </c>
      <c r="Z24" s="1" t="str">
        <f t="shared" si="12"/>
        <v>10.2101</v>
      </c>
      <c r="AA24" s="1" t="str">
        <f t="shared" si="12"/>
        <v>10.1500 - 10.2200</v>
      </c>
      <c r="AB24" s="1" t="str">
        <f t="shared" si="12"/>
        <v>10.0034</v>
      </c>
      <c r="AC24" s="1" t="str">
        <f t="shared" si="12"/>
        <v>9.8917</v>
      </c>
      <c r="AD24" s="1" t="str">
        <f t="shared" si="12"/>
        <v>0.3184</v>
      </c>
      <c r="AE24" s="1" t="str">
        <f t="shared" si="12"/>
        <v>+3.2190%</v>
      </c>
      <c r="AF24" s="1" t="str">
        <f t="shared" si="13"/>
        <v>0.2067</v>
      </c>
      <c r="AG24" s="1" t="str">
        <f t="shared" si="13"/>
        <v>+2.0663%</v>
      </c>
      <c r="AH24" s="1" t="str">
        <f t="shared" si="13"/>
        <v>Delaware Investments Dividend &amp;</v>
      </c>
      <c r="AI24" s="1" t="str">
        <f t="shared" si="13"/>
        <v/>
      </c>
      <c r="AJ24" s="1" t="str">
        <f t="shared" si="13"/>
        <v>10.2000</v>
      </c>
      <c r="AK24" s="1" t="str">
        <f t="shared" si="13"/>
        <v>10.1501</v>
      </c>
      <c r="AL24" s="1" t="str">
        <f t="shared" si="13"/>
        <v/>
      </c>
      <c r="AM24" s="1" t="str">
        <f t="shared" si="13"/>
        <v>+0.5911%</v>
      </c>
      <c r="AN24" s="1" t="str">
        <f t="shared" si="13"/>
        <v/>
      </c>
      <c r="AO24" s="1" t="str">
        <f t="shared" si="13"/>
        <v/>
      </c>
      <c r="AP24" s="1" t="str">
        <f t="shared" si="14"/>
        <v/>
      </c>
      <c r="AQ24" s="1" t="str">
        <f t="shared" si="14"/>
        <v>4/24/2015</v>
      </c>
      <c r="AR24" s="1" t="str">
        <f t="shared" si="14"/>
        <v>0.0000</v>
      </c>
      <c r="AS24" s="1" t="str">
        <f t="shared" si="14"/>
        <v/>
      </c>
      <c r="AT24" s="1" t="str">
        <f t="shared" si="14"/>
        <v/>
      </c>
      <c r="AU24" s="1" t="str">
        <f t="shared" si="14"/>
        <v>0.0000</v>
      </c>
      <c r="AV24" s="1" t="str">
        <f t="shared" si="14"/>
        <v>4:00pm</v>
      </c>
      <c r="AW24" s="1" t="str">
        <f t="shared" si="14"/>
        <v/>
      </c>
      <c r="AX24" s="1" t="str">
        <f t="shared" si="14"/>
        <v/>
      </c>
      <c r="AY24" s="1" t="str">
        <f t="shared" si="14"/>
        <v>32688</v>
      </c>
      <c r="AZ24" s="1" t="str">
        <f t="shared" si="14"/>
        <v/>
      </c>
      <c r="BA24" s="1" t="str">
        <f t="shared" si="14"/>
        <v>8.9800 - 10.7300</v>
      </c>
      <c r="BB24" s="1" t="str">
        <f t="shared" si="14"/>
        <v>NYQ</v>
      </c>
    </row>
    <row r="25" spans="1:54" x14ac:dyDescent="0.25">
      <c r="A25" t="s">
        <v>77</v>
      </c>
      <c r="B25" s="1" t="str">
        <f t="shared" si="10"/>
        <v>VQROX</v>
      </c>
      <c r="C25" s="1" t="str">
        <f t="shared" si="10"/>
        <v/>
      </c>
      <c r="D25" s="1" t="str">
        <f t="shared" si="10"/>
        <v/>
      </c>
      <c r="E25" s="1" t="str">
        <f t="shared" si="10"/>
        <v/>
      </c>
      <c r="F25" s="1" t="str">
        <f t="shared" si="10"/>
        <v>0.00</v>
      </c>
      <c r="G25" s="1" t="str">
        <f t="shared" si="10"/>
        <v>+0.04</v>
      </c>
      <c r="H25" s="1" t="str">
        <f t="shared" si="10"/>
        <v>USD</v>
      </c>
      <c r="I25" s="1" t="str">
        <f t="shared" si="10"/>
        <v/>
      </c>
      <c r="J25" s="1" t="str">
        <f t="shared" si="10"/>
        <v>4/15/2015</v>
      </c>
      <c r="K25" s="1" t="str">
        <f t="shared" si="10"/>
        <v/>
      </c>
      <c r="L25" s="1" t="str">
        <f t="shared" si="11"/>
        <v/>
      </c>
      <c r="M25" s="1" t="str">
        <f t="shared" si="11"/>
        <v/>
      </c>
      <c r="N25" s="1" t="str">
        <f t="shared" si="11"/>
        <v>0.00</v>
      </c>
      <c r="O25" s="1" t="str">
        <f t="shared" si="11"/>
        <v/>
      </c>
      <c r="P25" s="1" t="str">
        <f t="shared" si="11"/>
        <v/>
      </c>
      <c r="Q25" s="1" t="str">
        <f t="shared" si="11"/>
        <v/>
      </c>
      <c r="R25" s="1" t="str">
        <f t="shared" si="11"/>
        <v/>
      </c>
      <c r="S25" s="1" t="str">
        <f t="shared" si="11"/>
        <v/>
      </c>
      <c r="T25" s="1" t="str">
        <f t="shared" si="11"/>
        <v/>
      </c>
      <c r="U25" s="1" t="str">
        <f t="shared" si="11"/>
        <v/>
      </c>
      <c r="V25" s="1" t="str">
        <f t="shared" si="12"/>
        <v/>
      </c>
      <c r="W25" s="1" t="str">
        <f t="shared" si="12"/>
        <v/>
      </c>
      <c r="X25" s="1" t="str">
        <f t="shared" si="12"/>
        <v/>
      </c>
      <c r="Y25" s="1" t="str">
        <f t="shared" si="12"/>
        <v>6:25pm - &lt;b&gt;12.19&lt;/b&gt;</v>
      </c>
      <c r="Z25" s="1" t="str">
        <f t="shared" si="12"/>
        <v>12.19</v>
      </c>
      <c r="AA25" s="1" t="str">
        <f t="shared" si="12"/>
        <v/>
      </c>
      <c r="AB25" s="1" t="str">
        <f t="shared" si="12"/>
        <v/>
      </c>
      <c r="AC25" s="1" t="str">
        <f t="shared" si="12"/>
        <v/>
      </c>
      <c r="AD25" s="1" t="str">
        <f t="shared" si="12"/>
        <v/>
      </c>
      <c r="AE25" s="1" t="str">
        <f t="shared" si="12"/>
        <v/>
      </c>
      <c r="AF25" s="1" t="str">
        <f t="shared" si="13"/>
        <v/>
      </c>
      <c r="AG25" s="1" t="str">
        <f t="shared" si="13"/>
        <v/>
      </c>
      <c r="AH25" s="1" t="str">
        <f t="shared" si="13"/>
        <v>Vantagepoint Milestone 2020 Fd</v>
      </c>
      <c r="AI25" s="1" t="str">
        <f t="shared" si="13"/>
        <v/>
      </c>
      <c r="AJ25" s="1" t="str">
        <f t="shared" si="13"/>
        <v/>
      </c>
      <c r="AK25" s="1" t="str">
        <f t="shared" si="13"/>
        <v>12.15</v>
      </c>
      <c r="AL25" s="1" t="str">
        <f t="shared" si="13"/>
        <v/>
      </c>
      <c r="AM25" s="1" t="str">
        <f t="shared" si="13"/>
        <v>+0.33%</v>
      </c>
      <c r="AN25" s="1" t="str">
        <f t="shared" si="13"/>
        <v/>
      </c>
      <c r="AO25" s="1" t="str">
        <f t="shared" si="13"/>
        <v/>
      </c>
      <c r="AP25" s="1" t="str">
        <f t="shared" si="14"/>
        <v/>
      </c>
      <c r="AQ25" s="1" t="str">
        <f t="shared" si="14"/>
        <v/>
      </c>
      <c r="AR25" s="1" t="str">
        <f t="shared" si="14"/>
        <v>0.00</v>
      </c>
      <c r="AS25" s="1" t="str">
        <f t="shared" si="14"/>
        <v/>
      </c>
      <c r="AT25" s="1" t="str">
        <f t="shared" si="14"/>
        <v/>
      </c>
      <c r="AU25" s="1" t="str">
        <f t="shared" si="14"/>
        <v/>
      </c>
      <c r="AV25" s="1" t="str">
        <f t="shared" si="14"/>
        <v>6:25pm</v>
      </c>
      <c r="AW25" s="1" t="str">
        <f t="shared" si="14"/>
        <v/>
      </c>
      <c r="AX25" s="1" t="str">
        <f t="shared" si="14"/>
        <v/>
      </c>
      <c r="AY25" s="1" t="str">
        <f t="shared" si="14"/>
        <v>0</v>
      </c>
      <c r="AZ25" s="1" t="str">
        <f t="shared" si="14"/>
        <v/>
      </c>
      <c r="BA25" s="1" t="str">
        <f t="shared" si="14"/>
        <v/>
      </c>
      <c r="BB25" s="1" t="str">
        <f t="shared" si="14"/>
        <v>NAS</v>
      </c>
    </row>
    <row r="26" spans="1:54" x14ac:dyDescent="0.25">
      <c r="A26" t="s">
        <v>78</v>
      </c>
      <c r="B26" s="1" t="str">
        <f t="shared" si="10"/>
        <v>SLB</v>
      </c>
      <c r="C26" s="1" t="str">
        <f t="shared" si="10"/>
        <v>92.00</v>
      </c>
      <c r="D26" s="1" t="str">
        <f t="shared" si="10"/>
        <v>8462240</v>
      </c>
      <c r="E26" s="1" t="str">
        <f t="shared" si="10"/>
        <v>91.55</v>
      </c>
      <c r="F26" s="1" t="str">
        <f t="shared" si="10"/>
        <v>29.68</v>
      </c>
      <c r="G26" s="1" t="str">
        <f t="shared" si="10"/>
        <v>+3.20</v>
      </c>
      <c r="H26" s="1" t="str">
        <f t="shared" si="10"/>
        <v>USD</v>
      </c>
      <c r="I26" s="1" t="str">
        <f t="shared" si="10"/>
        <v>2.00</v>
      </c>
      <c r="J26" s="1" t="str">
        <f t="shared" si="10"/>
        <v>4/15/2015</v>
      </c>
      <c r="K26" s="1" t="str">
        <f t="shared" si="10"/>
        <v>4.15</v>
      </c>
      <c r="L26" s="1" t="str">
        <f t="shared" si="11"/>
        <v>3.29</v>
      </c>
      <c r="M26" s="1" t="str">
        <f t="shared" si="11"/>
        <v>3.67</v>
      </c>
      <c r="N26" s="1" t="str">
        <f t="shared" si="11"/>
        <v>0.75</v>
      </c>
      <c r="O26" s="1" t="str">
        <f t="shared" si="11"/>
        <v>88.90</v>
      </c>
      <c r="P26" s="1" t="str">
        <f t="shared" si="11"/>
        <v>92.00</v>
      </c>
      <c r="Q26" s="1" t="str">
        <f t="shared" si="11"/>
        <v>75.60</v>
      </c>
      <c r="R26" s="1" t="str">
        <f t="shared" si="11"/>
        <v>118.76</v>
      </c>
      <c r="S26" s="1" t="str">
        <f t="shared" si="11"/>
        <v>117.33B</v>
      </c>
      <c r="T26" s="1" t="str">
        <f t="shared" si="11"/>
        <v>13.58B</v>
      </c>
      <c r="U26" s="1" t="str">
        <f t="shared" si="11"/>
        <v>16.40</v>
      </c>
      <c r="V26" s="1" t="str">
        <f t="shared" si="12"/>
        <v>+21.69%</v>
      </c>
      <c r="W26" s="1" t="str">
        <f t="shared" si="12"/>
        <v>-26.76</v>
      </c>
      <c r="X26" s="1" t="str">
        <f t="shared" si="12"/>
        <v>-22.53%</v>
      </c>
      <c r="Y26" s="1" t="str">
        <f t="shared" si="12"/>
        <v>4:01pm - &lt;b&gt;92.00&lt;/b&gt;</v>
      </c>
      <c r="Z26" s="1" t="str">
        <f t="shared" si="12"/>
        <v>92.00</v>
      </c>
      <c r="AA26" s="1" t="str">
        <f t="shared" si="12"/>
        <v>88.90 - 92.00</v>
      </c>
      <c r="AB26" s="1" t="str">
        <f t="shared" si="12"/>
        <v>83.93</v>
      </c>
      <c r="AC26" s="1" t="str">
        <f t="shared" si="12"/>
        <v>87.89</v>
      </c>
      <c r="AD26" s="1" t="str">
        <f t="shared" si="12"/>
        <v>4.11</v>
      </c>
      <c r="AE26" s="1" t="str">
        <f t="shared" si="12"/>
        <v>+4.68%</v>
      </c>
      <c r="AF26" s="1" t="str">
        <f t="shared" si="13"/>
        <v>8.07</v>
      </c>
      <c r="AG26" s="1" t="str">
        <f t="shared" si="13"/>
        <v>+9.62%</v>
      </c>
      <c r="AH26" s="1" t="str">
        <f t="shared" si="13"/>
        <v>Schlumberger N.V. Common Stock</v>
      </c>
      <c r="AI26" s="1" t="str">
        <f t="shared" si="13"/>
        <v/>
      </c>
      <c r="AJ26" s="1" t="str">
        <f t="shared" si="13"/>
        <v>89.47</v>
      </c>
      <c r="AK26" s="1" t="str">
        <f t="shared" si="13"/>
        <v>88.80</v>
      </c>
      <c r="AL26" s="1" t="str">
        <f t="shared" si="13"/>
        <v/>
      </c>
      <c r="AM26" s="1" t="str">
        <f t="shared" si="13"/>
        <v>+3.60%</v>
      </c>
      <c r="AN26" s="1" t="str">
        <f t="shared" si="13"/>
        <v>2.33</v>
      </c>
      <c r="AO26" s="1" t="str">
        <f t="shared" si="13"/>
        <v>2.99</v>
      </c>
      <c r="AP26" s="1" t="str">
        <f t="shared" si="14"/>
        <v>22.15</v>
      </c>
      <c r="AQ26" s="1" t="str">
        <f t="shared" si="14"/>
        <v>4/10/2015</v>
      </c>
      <c r="AR26" s="1" t="str">
        <f t="shared" si="14"/>
        <v>2.57</v>
      </c>
      <c r="AS26" s="1" t="str">
        <f t="shared" si="14"/>
        <v>27.96</v>
      </c>
      <c r="AT26" s="1" t="str">
        <f t="shared" si="14"/>
        <v>25.07</v>
      </c>
      <c r="AU26" s="1" t="str">
        <f t="shared" si="14"/>
        <v>2.60</v>
      </c>
      <c r="AV26" s="1" t="str">
        <f t="shared" si="14"/>
        <v>4:01pm</v>
      </c>
      <c r="AW26" s="1" t="str">
        <f t="shared" si="14"/>
        <v/>
      </c>
      <c r="AX26" s="1" t="str">
        <f t="shared" si="14"/>
        <v>92.34</v>
      </c>
      <c r="AY26" s="1" t="str">
        <f t="shared" si="14"/>
        <v>13206971</v>
      </c>
      <c r="AZ26" s="1" t="str">
        <f t="shared" si="14"/>
        <v/>
      </c>
      <c r="BA26" s="1" t="str">
        <f t="shared" si="14"/>
        <v>75.60 - 118.76</v>
      </c>
      <c r="BB26" s="1" t="str">
        <f t="shared" si="14"/>
        <v>NYQ</v>
      </c>
    </row>
    <row r="27" spans="1:54" x14ac:dyDescent="0.25">
      <c r="A27" t="s">
        <v>79</v>
      </c>
      <c r="B27" s="1" t="str">
        <f t="shared" si="10"/>
        <v>GILD</v>
      </c>
      <c r="C27" s="1" t="str">
        <f t="shared" si="10"/>
        <v>104.00</v>
      </c>
      <c r="D27" s="1" t="str">
        <f t="shared" si="10"/>
        <v>12037100</v>
      </c>
      <c r="E27" s="1" t="str">
        <f t="shared" si="10"/>
        <v>103.92</v>
      </c>
      <c r="F27" s="1" t="str">
        <f t="shared" si="10"/>
        <v>10.30</v>
      </c>
      <c r="G27" s="1" t="str">
        <f t="shared" si="10"/>
        <v>+1.82</v>
      </c>
      <c r="H27" s="1" t="str">
        <f t="shared" si="10"/>
        <v>USD</v>
      </c>
      <c r="I27" s="1" t="str">
        <f t="shared" si="10"/>
        <v/>
      </c>
      <c r="J27" s="1" t="str">
        <f t="shared" si="10"/>
        <v>4/15/2015</v>
      </c>
      <c r="K27" s="1" t="str">
        <f t="shared" si="10"/>
        <v>7.35</v>
      </c>
      <c r="L27" s="1" t="str">
        <f t="shared" si="11"/>
        <v>9.60</v>
      </c>
      <c r="M27" s="1" t="str">
        <f t="shared" si="11"/>
        <v>10.39</v>
      </c>
      <c r="N27" s="1" t="str">
        <f t="shared" si="11"/>
        <v>2.37</v>
      </c>
      <c r="O27" s="1" t="str">
        <f t="shared" si="11"/>
        <v>102.33</v>
      </c>
      <c r="P27" s="1" t="str">
        <f t="shared" si="11"/>
        <v>104.36</v>
      </c>
      <c r="Q27" s="1" t="str">
        <f t="shared" si="11"/>
        <v>68.34</v>
      </c>
      <c r="R27" s="1" t="str">
        <f t="shared" si="11"/>
        <v>116.83</v>
      </c>
      <c r="S27" s="1" t="str">
        <f t="shared" si="11"/>
        <v>154.94B</v>
      </c>
      <c r="T27" s="1" t="str">
        <f t="shared" si="11"/>
        <v>16.69B</v>
      </c>
      <c r="U27" s="1" t="str">
        <f t="shared" si="11"/>
        <v>35.69</v>
      </c>
      <c r="V27" s="1" t="str">
        <f t="shared" si="12"/>
        <v>+52.22%</v>
      </c>
      <c r="W27" s="1" t="str">
        <f t="shared" si="12"/>
        <v>-12.80</v>
      </c>
      <c r="X27" s="1" t="str">
        <f t="shared" si="12"/>
        <v>-10.96%</v>
      </c>
      <c r="Y27" s="1" t="str">
        <f t="shared" si="12"/>
        <v>4:00pm - &lt;b&gt;104.03&lt;/b&gt;</v>
      </c>
      <c r="Z27" s="1" t="str">
        <f t="shared" si="12"/>
        <v>104.03</v>
      </c>
      <c r="AA27" s="1" t="str">
        <f t="shared" si="12"/>
        <v>102.33 - 104.36</v>
      </c>
      <c r="AB27" s="1" t="str">
        <f t="shared" si="12"/>
        <v>101.10</v>
      </c>
      <c r="AC27" s="1" t="str">
        <f t="shared" si="12"/>
        <v>102.41</v>
      </c>
      <c r="AD27" s="1" t="str">
        <f t="shared" si="12"/>
        <v>1.62</v>
      </c>
      <c r="AE27" s="1" t="str">
        <f t="shared" si="12"/>
        <v>+1.59%</v>
      </c>
      <c r="AF27" s="1" t="str">
        <f t="shared" si="13"/>
        <v>2.93</v>
      </c>
      <c r="AG27" s="1" t="str">
        <f t="shared" si="13"/>
        <v>+2.90%</v>
      </c>
      <c r="AH27" s="1" t="str">
        <f t="shared" si="13"/>
        <v>Gilead Sciences, Inc.</v>
      </c>
      <c r="AI27" s="1" t="str">
        <f t="shared" si="13"/>
        <v/>
      </c>
      <c r="AJ27" s="1" t="str">
        <f t="shared" si="13"/>
        <v>102.39</v>
      </c>
      <c r="AK27" s="1" t="str">
        <f t="shared" si="13"/>
        <v>102.21</v>
      </c>
      <c r="AL27" s="1" t="str">
        <f t="shared" si="13"/>
        <v/>
      </c>
      <c r="AM27" s="1" t="str">
        <f t="shared" si="13"/>
        <v>+1.78%</v>
      </c>
      <c r="AN27" s="1" t="str">
        <f t="shared" si="13"/>
        <v>6.12</v>
      </c>
      <c r="AO27" s="1" t="str">
        <f t="shared" si="13"/>
        <v>9.92</v>
      </c>
      <c r="AP27" s="1" t="str">
        <f t="shared" si="14"/>
        <v>14.15</v>
      </c>
      <c r="AQ27" s="1" t="str">
        <f t="shared" si="14"/>
        <v/>
      </c>
      <c r="AR27" s="1" t="str">
        <f t="shared" si="14"/>
        <v>0.81</v>
      </c>
      <c r="AS27" s="1" t="str">
        <f t="shared" si="14"/>
        <v>10.84</v>
      </c>
      <c r="AT27" s="1" t="str">
        <f t="shared" si="14"/>
        <v>10.01</v>
      </c>
      <c r="AU27" s="1" t="str">
        <f t="shared" si="14"/>
        <v>5.30</v>
      </c>
      <c r="AV27" s="1" t="str">
        <f t="shared" si="14"/>
        <v>4:00pm</v>
      </c>
      <c r="AW27" s="1" t="str">
        <f t="shared" si="14"/>
        <v/>
      </c>
      <c r="AX27" s="1" t="str">
        <f t="shared" si="14"/>
        <v>119.08</v>
      </c>
      <c r="AY27" s="1" t="str">
        <f t="shared" si="14"/>
        <v>12898508</v>
      </c>
      <c r="AZ27" s="1" t="str">
        <f t="shared" si="14"/>
        <v/>
      </c>
      <c r="BA27" s="1" t="str">
        <f t="shared" si="14"/>
        <v>68.34 - 116.83</v>
      </c>
      <c r="BB27" s="1" t="str">
        <f t="shared" si="14"/>
        <v>NMS</v>
      </c>
    </row>
    <row r="28" spans="1:54" x14ac:dyDescent="0.25">
      <c r="A28" t="s">
        <v>80</v>
      </c>
      <c r="B28" s="1" t="str">
        <f t="shared" si="10"/>
        <v>TSM</v>
      </c>
      <c r="C28" s="1" t="str">
        <f t="shared" si="10"/>
        <v>23.52</v>
      </c>
      <c r="D28" s="1" t="str">
        <f t="shared" si="10"/>
        <v>13839900</v>
      </c>
      <c r="E28" s="1" t="str">
        <f t="shared" si="10"/>
        <v>23.51</v>
      </c>
      <c r="F28" s="1" t="str">
        <f t="shared" si="10"/>
        <v>6.45</v>
      </c>
      <c r="G28" s="1" t="str">
        <f t="shared" si="10"/>
        <v>+0.33</v>
      </c>
      <c r="H28" s="1" t="str">
        <f t="shared" si="10"/>
        <v>USD</v>
      </c>
      <c r="I28" s="1" t="str">
        <f t="shared" si="10"/>
        <v>0.50</v>
      </c>
      <c r="J28" s="1" t="str">
        <f t="shared" si="10"/>
        <v>4/15/2015</v>
      </c>
      <c r="K28" s="1" t="str">
        <f t="shared" si="10"/>
        <v>1.60</v>
      </c>
      <c r="L28" s="1" t="str">
        <f t="shared" si="11"/>
        <v>1.87</v>
      </c>
      <c r="M28" s="1" t="str">
        <f t="shared" si="11"/>
        <v>2.05</v>
      </c>
      <c r="N28" s="1" t="str">
        <f t="shared" si="11"/>
        <v>0.52</v>
      </c>
      <c r="O28" s="1" t="str">
        <f t="shared" si="11"/>
        <v>23.09</v>
      </c>
      <c r="P28" s="1" t="str">
        <f t="shared" si="11"/>
        <v>23.64</v>
      </c>
      <c r="Q28" s="1" t="str">
        <f t="shared" si="11"/>
        <v>19.39</v>
      </c>
      <c r="R28" s="1" t="str">
        <f t="shared" si="11"/>
        <v>25.32</v>
      </c>
      <c r="S28" s="1" t="str">
        <f t="shared" si="11"/>
        <v>121.92B</v>
      </c>
      <c r="T28" s="1" t="str">
        <f t="shared" si="11"/>
        <v>15.87B</v>
      </c>
      <c r="U28" s="1" t="str">
        <f t="shared" si="11"/>
        <v>4.12</v>
      </c>
      <c r="V28" s="1" t="str">
        <f t="shared" si="12"/>
        <v>+21.25%</v>
      </c>
      <c r="W28" s="1" t="str">
        <f t="shared" si="12"/>
        <v>-1.81</v>
      </c>
      <c r="X28" s="1" t="str">
        <f t="shared" si="12"/>
        <v>-7.15%</v>
      </c>
      <c r="Y28" s="1" t="str">
        <f t="shared" si="12"/>
        <v>4:02pm - &lt;b&gt;23.51&lt;/b&gt;</v>
      </c>
      <c r="Z28" s="1" t="str">
        <f t="shared" si="12"/>
        <v>23.51</v>
      </c>
      <c r="AA28" s="1" t="str">
        <f t="shared" si="12"/>
        <v>23.09 - 23.64</v>
      </c>
      <c r="AB28" s="1" t="str">
        <f t="shared" si="12"/>
        <v>23.92</v>
      </c>
      <c r="AC28" s="1" t="str">
        <f t="shared" si="12"/>
        <v>22.66</v>
      </c>
      <c r="AD28" s="1" t="str">
        <f t="shared" si="12"/>
        <v>0.85</v>
      </c>
      <c r="AE28" s="1" t="str">
        <f t="shared" si="12"/>
        <v>+3.75%</v>
      </c>
      <c r="AF28" s="1" t="str">
        <f t="shared" si="13"/>
        <v>-0.41</v>
      </c>
      <c r="AG28" s="1" t="str">
        <f t="shared" si="13"/>
        <v>-1.72%</v>
      </c>
      <c r="AH28" s="1" t="str">
        <f t="shared" si="13"/>
        <v>Taiwan Semiconductor Manufactur</v>
      </c>
      <c r="AI28" s="1" t="str">
        <f t="shared" si="13"/>
        <v/>
      </c>
      <c r="AJ28" s="1" t="str">
        <f t="shared" si="13"/>
        <v>23.12</v>
      </c>
      <c r="AK28" s="1" t="str">
        <f t="shared" si="13"/>
        <v>23.18</v>
      </c>
      <c r="AL28" s="1" t="str">
        <f t="shared" si="13"/>
        <v/>
      </c>
      <c r="AM28" s="1" t="str">
        <f t="shared" si="13"/>
        <v>+1.42%</v>
      </c>
      <c r="AN28" s="1" t="str">
        <f t="shared" si="13"/>
        <v>4.92</v>
      </c>
      <c r="AO28" s="1" t="str">
        <f t="shared" si="13"/>
        <v>3.59</v>
      </c>
      <c r="AP28" s="1" t="str">
        <f t="shared" si="14"/>
        <v>14.42</v>
      </c>
      <c r="AQ28" s="1" t="str">
        <f t="shared" si="14"/>
        <v>8/6/2014</v>
      </c>
      <c r="AR28" s="1" t="str">
        <f t="shared" si="14"/>
        <v>0.83</v>
      </c>
      <c r="AS28" s="1" t="str">
        <f t="shared" si="14"/>
        <v>12.57</v>
      </c>
      <c r="AT28" s="1" t="str">
        <f t="shared" si="14"/>
        <v>11.47</v>
      </c>
      <c r="AU28" s="1" t="str">
        <f t="shared" si="14"/>
        <v>4.40</v>
      </c>
      <c r="AV28" s="1" t="str">
        <f t="shared" si="14"/>
        <v>4:02pm</v>
      </c>
      <c r="AW28" s="1" t="str">
        <f t="shared" si="14"/>
        <v/>
      </c>
      <c r="AX28" s="1" t="str">
        <f t="shared" si="14"/>
        <v>24.20</v>
      </c>
      <c r="AY28" s="1" t="str">
        <f t="shared" si="14"/>
        <v>16846955</v>
      </c>
      <c r="AZ28" s="1" t="str">
        <f t="shared" si="14"/>
        <v/>
      </c>
      <c r="BA28" s="1" t="str">
        <f t="shared" si="14"/>
        <v>19.39 - 25.32</v>
      </c>
      <c r="BB28" s="1" t="str">
        <f t="shared" si="14"/>
        <v>NYQ</v>
      </c>
    </row>
    <row r="29" spans="1:54" x14ac:dyDescent="0.25">
      <c r="A29" t="s">
        <v>81</v>
      </c>
      <c r="B29" s="1" t="str">
        <f t="shared" si="10"/>
        <v>TDLZX</v>
      </c>
      <c r="C29" s="1" t="str">
        <f t="shared" si="10"/>
        <v/>
      </c>
      <c r="D29" s="1" t="str">
        <f t="shared" si="10"/>
        <v/>
      </c>
      <c r="E29" s="1" t="str">
        <f t="shared" si="10"/>
        <v/>
      </c>
      <c r="F29" s="1" t="str">
        <f t="shared" si="10"/>
        <v>0.00</v>
      </c>
      <c r="G29" s="1" t="str">
        <f t="shared" si="10"/>
        <v>+0.04</v>
      </c>
      <c r="H29" s="1" t="str">
        <f t="shared" si="10"/>
        <v>USD</v>
      </c>
      <c r="I29" s="1" t="str">
        <f t="shared" si="10"/>
        <v/>
      </c>
      <c r="J29" s="1" t="str">
        <f t="shared" si="10"/>
        <v>4/15/2015</v>
      </c>
      <c r="K29" s="1" t="str">
        <f t="shared" si="10"/>
        <v/>
      </c>
      <c r="L29" s="1" t="str">
        <f t="shared" si="11"/>
        <v/>
      </c>
      <c r="M29" s="1" t="str">
        <f t="shared" si="11"/>
        <v/>
      </c>
      <c r="N29" s="1" t="str">
        <f t="shared" si="11"/>
        <v>0.00</v>
      </c>
      <c r="O29" s="1" t="str">
        <f t="shared" si="11"/>
        <v/>
      </c>
      <c r="P29" s="1" t="str">
        <f t="shared" si="11"/>
        <v/>
      </c>
      <c r="Q29" s="1" t="str">
        <f t="shared" si="11"/>
        <v/>
      </c>
      <c r="R29" s="1" t="str">
        <f t="shared" si="11"/>
        <v/>
      </c>
      <c r="S29" s="1" t="str">
        <f t="shared" si="11"/>
        <v/>
      </c>
      <c r="T29" s="1" t="str">
        <f t="shared" si="11"/>
        <v/>
      </c>
      <c r="U29" s="1" t="str">
        <f t="shared" si="11"/>
        <v/>
      </c>
      <c r="V29" s="1" t="str">
        <f t="shared" si="12"/>
        <v/>
      </c>
      <c r="W29" s="1" t="str">
        <f t="shared" si="12"/>
        <v/>
      </c>
      <c r="X29" s="1" t="str">
        <f t="shared" si="12"/>
        <v/>
      </c>
      <c r="Y29" s="1" t="str">
        <f t="shared" si="12"/>
        <v>6:25pm - &lt;b&gt;10.41&lt;/b&gt;</v>
      </c>
      <c r="Z29" s="1" t="str">
        <f t="shared" si="12"/>
        <v>10.41</v>
      </c>
      <c r="AA29" s="1" t="str">
        <f t="shared" si="12"/>
        <v/>
      </c>
      <c r="AB29" s="1" t="str">
        <f t="shared" si="12"/>
        <v/>
      </c>
      <c r="AC29" s="1" t="str">
        <f t="shared" si="12"/>
        <v/>
      </c>
      <c r="AD29" s="1" t="str">
        <f t="shared" si="12"/>
        <v/>
      </c>
      <c r="AE29" s="1" t="str">
        <f t="shared" si="12"/>
        <v/>
      </c>
      <c r="AF29" s="1" t="str">
        <f t="shared" si="13"/>
        <v/>
      </c>
      <c r="AG29" s="1" t="str">
        <f t="shared" si="13"/>
        <v/>
      </c>
      <c r="AH29" s="1" t="str">
        <f t="shared" si="13"/>
        <v/>
      </c>
      <c r="AI29" s="1" t="str">
        <f t="shared" si="13"/>
        <v/>
      </c>
      <c r="AJ29" s="1" t="str">
        <f t="shared" si="13"/>
        <v/>
      </c>
      <c r="AK29" s="1" t="str">
        <f t="shared" si="13"/>
        <v>10.37</v>
      </c>
      <c r="AL29" s="1" t="str">
        <f t="shared" si="13"/>
        <v/>
      </c>
      <c r="AM29" s="1" t="str">
        <f t="shared" si="13"/>
        <v>+0.39%</v>
      </c>
      <c r="AN29" s="1" t="str">
        <f t="shared" si="13"/>
        <v/>
      </c>
      <c r="AO29" s="1" t="str">
        <f t="shared" si="13"/>
        <v/>
      </c>
      <c r="AP29" s="1" t="str">
        <f t="shared" si="14"/>
        <v/>
      </c>
      <c r="AQ29" s="1" t="str">
        <f t="shared" si="14"/>
        <v/>
      </c>
      <c r="AR29" s="1" t="str">
        <f t="shared" si="14"/>
        <v>0.00</v>
      </c>
      <c r="AS29" s="1" t="str">
        <f t="shared" si="14"/>
        <v/>
      </c>
      <c r="AT29" s="1" t="str">
        <f t="shared" si="14"/>
        <v/>
      </c>
      <c r="AU29" s="1" t="str">
        <f t="shared" si="14"/>
        <v/>
      </c>
      <c r="AV29" s="1" t="str">
        <f t="shared" si="14"/>
        <v>6:25pm</v>
      </c>
      <c r="AW29" s="1" t="str">
        <f t="shared" si="14"/>
        <v/>
      </c>
      <c r="AX29" s="1" t="str">
        <f t="shared" si="14"/>
        <v/>
      </c>
      <c r="AY29" s="1" t="str">
        <f t="shared" si="14"/>
        <v>0</v>
      </c>
      <c r="AZ29" s="1" t="str">
        <f t="shared" si="14"/>
        <v/>
      </c>
      <c r="BA29" s="1" t="str">
        <f t="shared" si="14"/>
        <v/>
      </c>
      <c r="BB29" s="1" t="str">
        <f t="shared" si="14"/>
        <v>NAS</v>
      </c>
    </row>
    <row r="30" spans="1:54" x14ac:dyDescent="0.25">
      <c r="A30" t="s">
        <v>82</v>
      </c>
      <c r="B30" s="1" t="str">
        <f t="shared" si="10"/>
        <v>AAN</v>
      </c>
      <c r="C30" s="1" t="str">
        <f t="shared" si="10"/>
        <v>34.20</v>
      </c>
      <c r="D30" s="1" t="str">
        <f t="shared" si="10"/>
        <v>576766</v>
      </c>
      <c r="E30" s="1" t="str">
        <f t="shared" si="10"/>
        <v>24.00</v>
      </c>
      <c r="F30" s="1" t="str">
        <f t="shared" si="10"/>
        <v>16.88</v>
      </c>
      <c r="G30" s="1" t="str">
        <f t="shared" si="10"/>
        <v>+0.21</v>
      </c>
      <c r="H30" s="1" t="str">
        <f t="shared" si="10"/>
        <v>USD</v>
      </c>
      <c r="I30" s="1" t="str">
        <f t="shared" si="10"/>
        <v>0.09</v>
      </c>
      <c r="J30" s="1" t="str">
        <f t="shared" si="10"/>
        <v>4/15/2015</v>
      </c>
      <c r="K30" s="1" t="str">
        <f t="shared" si="10"/>
        <v>1.08</v>
      </c>
      <c r="L30" s="1" t="str">
        <f t="shared" si="11"/>
        <v>2.02</v>
      </c>
      <c r="M30" s="1" t="str">
        <f t="shared" si="11"/>
        <v>2.39</v>
      </c>
      <c r="N30" s="1" t="str">
        <f t="shared" si="11"/>
        <v>0.44</v>
      </c>
      <c r="O30" s="1" t="str">
        <f t="shared" si="11"/>
        <v>28.87</v>
      </c>
      <c r="P30" s="1" t="str">
        <f t="shared" si="11"/>
        <v>29.49</v>
      </c>
      <c r="Q30" s="1" t="str">
        <f t="shared" si="11"/>
        <v>23.25</v>
      </c>
      <c r="R30" s="1" t="str">
        <f t="shared" si="11"/>
        <v>36.74</v>
      </c>
      <c r="S30" s="1" t="str">
        <f t="shared" si="11"/>
        <v>2.12B</v>
      </c>
      <c r="T30" s="1" t="str">
        <f t="shared" si="11"/>
        <v>339.11M</v>
      </c>
      <c r="U30" s="1" t="str">
        <f t="shared" si="11"/>
        <v>5.93</v>
      </c>
      <c r="V30" s="1" t="str">
        <f t="shared" si="12"/>
        <v>+25.51%</v>
      </c>
      <c r="W30" s="1" t="str">
        <f t="shared" si="12"/>
        <v>-7.56</v>
      </c>
      <c r="X30" s="1" t="str">
        <f t="shared" si="12"/>
        <v>-20.58%</v>
      </c>
      <c r="Y30" s="1" t="str">
        <f t="shared" si="12"/>
        <v>4:03pm - &lt;b&gt;29.18&lt;/b&gt;</v>
      </c>
      <c r="Z30" s="1" t="str">
        <f t="shared" si="12"/>
        <v>29.18</v>
      </c>
      <c r="AA30" s="1" t="str">
        <f t="shared" si="12"/>
        <v>28.87 - 29.49</v>
      </c>
      <c r="AB30" s="1" t="str">
        <f t="shared" si="12"/>
        <v>28.51</v>
      </c>
      <c r="AC30" s="1" t="str">
        <f t="shared" si="12"/>
        <v>28.20</v>
      </c>
      <c r="AD30" s="1" t="str">
        <f t="shared" si="12"/>
        <v>0.98</v>
      </c>
      <c r="AE30" s="1" t="str">
        <f t="shared" si="12"/>
        <v>+3.49%</v>
      </c>
      <c r="AF30" s="1" t="str">
        <f t="shared" si="13"/>
        <v>0.67</v>
      </c>
      <c r="AG30" s="1" t="str">
        <f t="shared" si="13"/>
        <v>+2.36%</v>
      </c>
      <c r="AH30" s="1" t="str">
        <f t="shared" si="13"/>
        <v>Aaron's, Inc. Common Stock</v>
      </c>
      <c r="AI30" s="1" t="str">
        <f t="shared" si="13"/>
        <v/>
      </c>
      <c r="AJ30" s="1" t="str">
        <f t="shared" si="13"/>
        <v>29.05</v>
      </c>
      <c r="AK30" s="1" t="str">
        <f t="shared" si="13"/>
        <v>28.97</v>
      </c>
      <c r="AL30" s="1" t="str">
        <f t="shared" si="13"/>
        <v/>
      </c>
      <c r="AM30" s="1" t="str">
        <f t="shared" si="13"/>
        <v>+0.72%</v>
      </c>
      <c r="AN30" s="1" t="str">
        <f t="shared" si="13"/>
        <v>0.77</v>
      </c>
      <c r="AO30" s="1" t="str">
        <f t="shared" si="13"/>
        <v>1.72</v>
      </c>
      <c r="AP30" s="1" t="str">
        <f t="shared" si="14"/>
        <v>27.02</v>
      </c>
      <c r="AQ30" s="1" t="str">
        <f t="shared" si="14"/>
        <v>4/1/2015</v>
      </c>
      <c r="AR30" s="1" t="str">
        <f t="shared" si="14"/>
        <v>0.81</v>
      </c>
      <c r="AS30" s="1" t="str">
        <f t="shared" si="14"/>
        <v>14.45</v>
      </c>
      <c r="AT30" s="1" t="str">
        <f t="shared" si="14"/>
        <v>12.21</v>
      </c>
      <c r="AU30" s="1" t="str">
        <f t="shared" si="14"/>
        <v>6.50</v>
      </c>
      <c r="AV30" s="1" t="str">
        <f t="shared" si="14"/>
        <v>4:03pm</v>
      </c>
      <c r="AW30" s="1" t="str">
        <f t="shared" si="14"/>
        <v/>
      </c>
      <c r="AX30" s="1" t="str">
        <f t="shared" si="14"/>
        <v>35.71</v>
      </c>
      <c r="AY30" s="1" t="str">
        <f t="shared" si="14"/>
        <v>400741</v>
      </c>
      <c r="AZ30" s="1" t="str">
        <f t="shared" si="14"/>
        <v/>
      </c>
      <c r="BA30" s="1" t="str">
        <f t="shared" si="14"/>
        <v>23.25 - 36.74</v>
      </c>
      <c r="BB30" s="1" t="str">
        <f t="shared" si="14"/>
        <v>NYQ</v>
      </c>
    </row>
    <row r="31" spans="1:54" x14ac:dyDescent="0.25">
      <c r="A31" t="s">
        <v>83</v>
      </c>
      <c r="B31" s="1" t="str">
        <f t="shared" si="10"/>
        <v>AAC</v>
      </c>
      <c r="C31" s="1" t="str">
        <f t="shared" si="10"/>
        <v>31.98</v>
      </c>
      <c r="D31" s="1" t="str">
        <f t="shared" si="10"/>
        <v>167700</v>
      </c>
      <c r="E31" s="1" t="str">
        <f t="shared" si="10"/>
        <v>30.75</v>
      </c>
      <c r="F31" s="1" t="str">
        <f t="shared" si="10"/>
        <v>4.56</v>
      </c>
      <c r="G31" s="1" t="str">
        <f t="shared" si="10"/>
        <v>+0.91</v>
      </c>
      <c r="H31" s="1" t="str">
        <f t="shared" si="10"/>
        <v>USD</v>
      </c>
      <c r="I31" s="1" t="str">
        <f t="shared" si="10"/>
        <v/>
      </c>
      <c r="J31" s="1" t="str">
        <f t="shared" si="10"/>
        <v>4/15/2015</v>
      </c>
      <c r="K31" s="1" t="str">
        <f t="shared" si="10"/>
        <v>0.41</v>
      </c>
      <c r="L31" s="1" t="str">
        <f t="shared" si="11"/>
        <v>0.64</v>
      </c>
      <c r="M31" s="1" t="str">
        <f t="shared" si="11"/>
        <v>1.01</v>
      </c>
      <c r="N31" s="1" t="str">
        <f t="shared" si="11"/>
        <v>0.12</v>
      </c>
      <c r="O31" s="1" t="str">
        <f t="shared" si="11"/>
        <v>30.94</v>
      </c>
      <c r="P31" s="1" t="str">
        <f t="shared" si="11"/>
        <v>32.79</v>
      </c>
      <c r="Q31" s="1" t="str">
        <f t="shared" si="11"/>
        <v>17.60</v>
      </c>
      <c r="R31" s="1" t="str">
        <f t="shared" si="11"/>
        <v>38.43</v>
      </c>
      <c r="S31" s="1" t="str">
        <f t="shared" si="11"/>
        <v>697.59M</v>
      </c>
      <c r="T31" s="1" t="str">
        <f t="shared" si="11"/>
        <v>16.79M</v>
      </c>
      <c r="U31" s="1" t="str">
        <f t="shared" si="11"/>
        <v>14.42</v>
      </c>
      <c r="V31" s="1" t="str">
        <f t="shared" si="12"/>
        <v>+81.93%</v>
      </c>
      <c r="W31" s="1" t="str">
        <f t="shared" si="12"/>
        <v>-6.41</v>
      </c>
      <c r="X31" s="1" t="str">
        <f t="shared" si="12"/>
        <v>-16.68%</v>
      </c>
      <c r="Y31" s="1" t="str">
        <f t="shared" si="12"/>
        <v>4:02pm - &lt;b&gt;32.02&lt;/b&gt;</v>
      </c>
      <c r="Z31" s="1" t="str">
        <f t="shared" si="12"/>
        <v>32.02</v>
      </c>
      <c r="AA31" s="1" t="str">
        <f t="shared" si="12"/>
        <v>30.94 - 32.79</v>
      </c>
      <c r="AB31" s="1" t="str">
        <f t="shared" si="12"/>
        <v>30.48</v>
      </c>
      <c r="AC31" s="1" t="str">
        <f t="shared" si="12"/>
        <v>27.60</v>
      </c>
      <c r="AD31" s="1" t="str">
        <f t="shared" si="12"/>
        <v>4.42</v>
      </c>
      <c r="AE31" s="1" t="str">
        <f t="shared" si="12"/>
        <v>+16.02%</v>
      </c>
      <c r="AF31" s="1" t="str">
        <f t="shared" si="13"/>
        <v>1.54</v>
      </c>
      <c r="AG31" s="1" t="str">
        <f t="shared" si="13"/>
        <v>+5.05%</v>
      </c>
      <c r="AH31" s="1" t="str">
        <f t="shared" si="13"/>
        <v>AAC Holdings, Inc. Common Stock</v>
      </c>
      <c r="AI31" s="1" t="str">
        <f t="shared" si="13"/>
        <v/>
      </c>
      <c r="AJ31" s="1" t="str">
        <f t="shared" si="13"/>
        <v>31.00</v>
      </c>
      <c r="AK31" s="1" t="str">
        <f t="shared" si="13"/>
        <v>31.11</v>
      </c>
      <c r="AL31" s="1" t="str">
        <f t="shared" si="13"/>
        <v/>
      </c>
      <c r="AM31" s="1" t="str">
        <f t="shared" si="13"/>
        <v>+2.93%</v>
      </c>
      <c r="AN31" s="1" t="str">
        <f t="shared" si="13"/>
        <v>5.57</v>
      </c>
      <c r="AO31" s="1" t="str">
        <f t="shared" si="13"/>
        <v>6.82</v>
      </c>
      <c r="AP31" s="1" t="str">
        <f t="shared" si="14"/>
        <v>78.10</v>
      </c>
      <c r="AQ31" s="1" t="str">
        <f t="shared" si="14"/>
        <v/>
      </c>
      <c r="AR31" s="1" t="str">
        <f t="shared" si="14"/>
        <v>2.49</v>
      </c>
      <c r="AS31" s="1" t="str">
        <f t="shared" si="14"/>
        <v>50.03</v>
      </c>
      <c r="AT31" s="1" t="str">
        <f t="shared" si="14"/>
        <v>31.70</v>
      </c>
      <c r="AU31" s="1" t="str">
        <f t="shared" si="14"/>
        <v>6.30</v>
      </c>
      <c r="AV31" s="1" t="str">
        <f t="shared" si="14"/>
        <v>4:02pm</v>
      </c>
      <c r="AW31" s="1" t="str">
        <f t="shared" si="14"/>
        <v/>
      </c>
      <c r="AX31" s="1" t="str">
        <f t="shared" si="14"/>
        <v>41.00</v>
      </c>
      <c r="AY31" s="1" t="str">
        <f t="shared" si="14"/>
        <v>252585</v>
      </c>
      <c r="AZ31" s="1" t="str">
        <f t="shared" si="14"/>
        <v/>
      </c>
      <c r="BA31" s="1" t="str">
        <f t="shared" si="14"/>
        <v>17.60 - 38.43</v>
      </c>
      <c r="BB31" s="1" t="str">
        <f t="shared" si="14"/>
        <v>NYQ</v>
      </c>
    </row>
    <row r="32" spans="1:54" x14ac:dyDescent="0.25">
      <c r="A32" t="s">
        <v>84</v>
      </c>
      <c r="B32" s="1" t="str">
        <f t="shared" si="10"/>
        <v>TEWI</v>
      </c>
      <c r="C32" s="1" t="str">
        <f t="shared" si="10"/>
        <v/>
      </c>
      <c r="D32" s="1" t="str">
        <f t="shared" si="10"/>
        <v>3778850</v>
      </c>
      <c r="E32" s="1" t="str">
        <f t="shared" si="10"/>
        <v/>
      </c>
      <c r="F32" s="1" t="str">
        <f t="shared" si="10"/>
        <v>0.0000</v>
      </c>
      <c r="G32" s="1" t="str">
        <f t="shared" si="10"/>
        <v>-0.0001</v>
      </c>
      <c r="H32" s="1" t="str">
        <f t="shared" si="10"/>
        <v>USD</v>
      </c>
      <c r="I32" s="1" t="str">
        <f t="shared" si="10"/>
        <v/>
      </c>
      <c r="J32" s="1" t="str">
        <f t="shared" si="10"/>
        <v>12/31/2014</v>
      </c>
      <c r="K32" s="1" t="str">
        <f t="shared" si="10"/>
        <v>-0.0030</v>
      </c>
      <c r="L32" s="1" t="str">
        <f t="shared" si="11"/>
        <v/>
      </c>
      <c r="M32" s="1" t="str">
        <f t="shared" si="11"/>
        <v/>
      </c>
      <c r="N32" s="1" t="str">
        <f t="shared" si="11"/>
        <v>0.0000</v>
      </c>
      <c r="O32" s="1" t="str">
        <f t="shared" si="11"/>
        <v/>
      </c>
      <c r="P32" s="1" t="str">
        <f t="shared" si="11"/>
        <v/>
      </c>
      <c r="Q32" s="1" t="str">
        <f t="shared" si="11"/>
        <v>0.0005</v>
      </c>
      <c r="R32" s="1" t="str">
        <f t="shared" si="11"/>
        <v>0.0720</v>
      </c>
      <c r="S32" s="1" t="str">
        <f t="shared" si="11"/>
        <v/>
      </c>
      <c r="T32" s="1" t="str">
        <f t="shared" si="11"/>
        <v>0.00</v>
      </c>
      <c r="U32" s="1" t="str">
        <f t="shared" si="11"/>
        <v>0.0002</v>
      </c>
      <c r="V32" s="1" t="str">
        <f t="shared" si="12"/>
        <v>+40.0000%</v>
      </c>
      <c r="W32" s="1" t="str">
        <f t="shared" si="12"/>
        <v>-0.0713</v>
      </c>
      <c r="X32" s="1" t="str">
        <f t="shared" si="12"/>
        <v>-99.0278%</v>
      </c>
      <c r="Y32" s="1" t="str">
        <f t="shared" si="12"/>
        <v>3:00pm - &lt;b&gt;0.0007&lt;/b&gt;</v>
      </c>
      <c r="Z32" s="1" t="str">
        <f t="shared" si="12"/>
        <v>0.0007</v>
      </c>
      <c r="AA32" s="1" t="str">
        <f t="shared" si="12"/>
        <v/>
      </c>
      <c r="AB32" s="1" t="str">
        <f t="shared" si="12"/>
        <v>0.0000</v>
      </c>
      <c r="AC32" s="1" t="str">
        <f t="shared" si="12"/>
        <v>0.0158</v>
      </c>
      <c r="AD32" s="1" t="str">
        <f t="shared" si="12"/>
        <v>-0.0151</v>
      </c>
      <c r="AE32" s="1" t="str">
        <f t="shared" si="12"/>
        <v>-95.5803%</v>
      </c>
      <c r="AF32" s="1" t="str">
        <f t="shared" si="13"/>
        <v>0.0007</v>
      </c>
      <c r="AG32" s="1" t="str">
        <f t="shared" si="13"/>
        <v>+inf%</v>
      </c>
      <c r="AH32" s="1" t="str">
        <f t="shared" si="13"/>
        <v>TITAN ENERGY WORLDWD</v>
      </c>
      <c r="AI32" s="1" t="str">
        <f t="shared" si="13"/>
        <v/>
      </c>
      <c r="AJ32" s="1" t="str">
        <f t="shared" si="13"/>
        <v/>
      </c>
      <c r="AK32" s="1" t="str">
        <f t="shared" si="13"/>
        <v>0.0008</v>
      </c>
      <c r="AL32" s="1" t="str">
        <f t="shared" si="13"/>
        <v/>
      </c>
      <c r="AM32" s="1" t="str">
        <f t="shared" si="13"/>
        <v>-12.5000%</v>
      </c>
      <c r="AN32" s="1" t="str">
        <f t="shared" si="13"/>
        <v/>
      </c>
      <c r="AO32" s="1" t="str">
        <f t="shared" si="13"/>
        <v/>
      </c>
      <c r="AP32" s="1" t="str">
        <f t="shared" si="14"/>
        <v/>
      </c>
      <c r="AQ32" s="1" t="str">
        <f t="shared" si="14"/>
        <v/>
      </c>
      <c r="AR32" s="1" t="str">
        <f t="shared" si="14"/>
        <v>0.0000</v>
      </c>
      <c r="AS32" s="1" t="str">
        <f t="shared" si="14"/>
        <v/>
      </c>
      <c r="AT32" s="1" t="str">
        <f t="shared" si="14"/>
        <v/>
      </c>
      <c r="AU32" s="1" t="str">
        <f t="shared" si="14"/>
        <v>0.0000</v>
      </c>
      <c r="AV32" s="1" t="str">
        <f t="shared" si="14"/>
        <v>3:00pm</v>
      </c>
      <c r="AW32" s="1" t="str">
        <f t="shared" si="14"/>
        <v/>
      </c>
      <c r="AX32" s="1" t="str">
        <f t="shared" si="14"/>
        <v/>
      </c>
      <c r="AY32" s="1" t="str">
        <f t="shared" si="14"/>
        <v>0</v>
      </c>
      <c r="AZ32" s="1" t="str">
        <f t="shared" si="14"/>
        <v/>
      </c>
      <c r="BA32" s="1" t="str">
        <f t="shared" si="14"/>
        <v>0.0005 - 0.0720</v>
      </c>
      <c r="BB32" s="1" t="str">
        <f t="shared" si="14"/>
        <v>PNK</v>
      </c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" width="34.140625" customWidth="1"/>
  </cols>
  <sheetData>
    <row r="1" spans="1:1" x14ac:dyDescent="0.25">
      <c r="A1" t="str">
        <f>testTwitter("a")</f>
        <v>Completed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"/>
  <sheetViews>
    <sheetView tabSelected="1" zoomScale="70" zoomScaleNormal="70" workbookViewId="0">
      <selection activeCell="A3" sqref="A3"/>
    </sheetView>
  </sheetViews>
  <sheetFormatPr defaultRowHeight="15" x14ac:dyDescent="0.25"/>
  <cols>
    <col min="1" max="1" width="55.855468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>
    <row r="1" spans="1:1" x14ac:dyDescent="0.25">
      <c r="A1" t="s">
        <v>85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YahooFinance</vt:lpstr>
      <vt:lpstr>Sheet1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2015-04-16T01:47:35Z</dcterms:modified>
</cp:coreProperties>
</file>